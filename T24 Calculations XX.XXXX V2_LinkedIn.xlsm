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H:\MEP\Matthew Harris\"/>
    </mc:Choice>
  </mc:AlternateContent>
  <xr:revisionPtr revIDLastSave="0" documentId="13_ncr:1_{38358937-E133-4C1E-9E6E-76FB34A29243}" xr6:coauthVersionLast="47" xr6:coauthVersionMax="47" xr10:uidLastSave="{00000000-0000-0000-0000-000000000000}"/>
  <bookViews>
    <workbookView xWindow="-28920" yWindow="-120" windowWidth="29040" windowHeight="15720" activeTab="1" xr2:uid="{41DB6DF4-63B5-4EC8-813A-110794280448}"/>
  </bookViews>
  <sheets>
    <sheet name="Cover" sheetId="10" r:id="rId1"/>
    <sheet name="Calculator" sheetId="1" r:id="rId2"/>
    <sheet name="ZoneByZIP" sheetId="2" r:id="rId3"/>
    <sheet name="Table 140.3-B" sheetId="4" r:id="rId4"/>
    <sheet name="Table 140.3-B Data" sheetId="5" state="hidden" r:id="rId5"/>
    <sheet name="Table 140.3-C" sheetId="6" r:id="rId6"/>
    <sheet name="Table 140.3-C Data" sheetId="7" state="hidden" r:id="rId7"/>
    <sheet name="PV &amp; Battery" sheetId="8" r:id="rId8"/>
    <sheet name="Checklist" sheetId="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 i="8" l="1"/>
  <c r="N9" i="8" s="1"/>
  <c r="N13" i="8" s="1"/>
  <c r="E7" i="2"/>
  <c r="G5" i="6"/>
  <c r="G6" i="6"/>
  <c r="G7" i="6"/>
  <c r="G8" i="6"/>
  <c r="G9" i="6"/>
  <c r="G10" i="6"/>
  <c r="G11" i="6"/>
  <c r="G12" i="6"/>
  <c r="G13" i="6"/>
  <c r="G14" i="6"/>
  <c r="G15" i="6"/>
  <c r="G16" i="6"/>
  <c r="G17" i="6"/>
  <c r="G18" i="6"/>
  <c r="G19" i="6"/>
  <c r="G20" i="6"/>
  <c r="G5" i="4"/>
  <c r="G6" i="4"/>
  <c r="G7" i="4"/>
  <c r="G8" i="4"/>
  <c r="G9" i="4"/>
  <c r="G10" i="4"/>
  <c r="G11" i="4"/>
  <c r="G12" i="4"/>
  <c r="G13" i="4"/>
  <c r="G14" i="4"/>
  <c r="G15" i="4"/>
  <c r="G16" i="4"/>
  <c r="G17" i="4"/>
  <c r="G18" i="4"/>
  <c r="G19" i="4"/>
  <c r="G20" i="4"/>
  <c r="I22" i="4"/>
  <c r="I23" i="4"/>
  <c r="I24" i="4"/>
  <c r="I26" i="4"/>
  <c r="I27" i="4"/>
  <c r="I28" i="4"/>
  <c r="I30" i="4"/>
  <c r="I31" i="4"/>
  <c r="I32" i="4"/>
  <c r="I34" i="4"/>
  <c r="I35" i="4"/>
  <c r="I36" i="4"/>
  <c r="I37" i="4"/>
  <c r="H9" i="1"/>
  <c r="J20" i="1"/>
  <c r="K20" i="1"/>
  <c r="L20" i="1"/>
  <c r="I20" i="1"/>
  <c r="L19" i="1" l="1"/>
  <c r="I19" i="1"/>
  <c r="K19" i="1"/>
  <c r="J19" i="1"/>
  <c r="M20" i="1"/>
</calcChain>
</file>

<file path=xl/sharedStrings.xml><?xml version="1.0" encoding="utf-8"?>
<sst xmlns="http://schemas.openxmlformats.org/spreadsheetml/2006/main" count="455" uniqueCount="211">
  <si>
    <t>Wall Height</t>
  </si>
  <si>
    <t>Total SqFt</t>
  </si>
  <si>
    <t>Job Name:</t>
  </si>
  <si>
    <t>Job Number:</t>
  </si>
  <si>
    <t>Author:</t>
  </si>
  <si>
    <t>Start Date:</t>
  </si>
  <si>
    <t>Energy Pro Title 24 Calculator Tool</t>
  </si>
  <si>
    <t>Level 1</t>
  </si>
  <si>
    <t>Level 2</t>
  </si>
  <si>
    <t>Level 3</t>
  </si>
  <si>
    <t>Level 4</t>
  </si>
  <si>
    <t>Typical</t>
  </si>
  <si>
    <t>Doors (sqft)</t>
  </si>
  <si>
    <t>Windows (sqft)</t>
  </si>
  <si>
    <t>Levels Heights (ft)</t>
  </si>
  <si>
    <t>North</t>
  </si>
  <si>
    <t>East</t>
  </si>
  <si>
    <t>South</t>
  </si>
  <si>
    <t>West</t>
  </si>
  <si>
    <t>Wall Length</t>
  </si>
  <si>
    <t>Tot Ext Perimiter</t>
  </si>
  <si>
    <t>Enter Data</t>
  </si>
  <si>
    <t>Result</t>
  </si>
  <si>
    <t>Level</t>
  </si>
  <si>
    <t>Building 1</t>
  </si>
  <si>
    <t>XX.XXXX</t>
  </si>
  <si>
    <t>Jan. 1, 2024</t>
  </si>
  <si>
    <t>A</t>
  </si>
  <si>
    <t>B</t>
  </si>
  <si>
    <t>C</t>
  </si>
  <si>
    <t>DHW</t>
  </si>
  <si>
    <t>PV</t>
  </si>
  <si>
    <t>Zip Code</t>
  </si>
  <si>
    <t>Building CZ</t>
  </si>
  <si>
    <t>Building Zone</t>
  </si>
  <si>
    <t>Building Climate Zones by ZIP Code</t>
  </si>
  <si>
    <t>Max WWR%</t>
  </si>
  <si>
    <r>
      <t>(Min Vt</t>
    </r>
    <r>
      <rPr>
        <vertAlign val="subscript"/>
        <sz val="11"/>
        <color theme="1"/>
        <rFont val="Aptos Narrow"/>
        <family val="2"/>
        <scheme val="minor"/>
      </rPr>
      <t>annual for TDDs</t>
    </r>
    <r>
      <rPr>
        <sz val="11"/>
        <color theme="1"/>
        <rFont val="Aptos Narrow"/>
        <family val="2"/>
        <scheme val="minor"/>
      </rPr>
      <t>)</t>
    </r>
  </si>
  <si>
    <t>Min VT</t>
  </si>
  <si>
    <t>NR</t>
  </si>
  <si>
    <t>Max RSHGC</t>
  </si>
  <si>
    <t>Max U-factor</t>
  </si>
  <si>
    <t>Tubular Daylighting Devices (TDDs)</t>
  </si>
  <si>
    <t>Plastic, Curb Mounted</t>
  </si>
  <si>
    <t>Glass, Deck Mounted</t>
  </si>
  <si>
    <t>Glass, Curb Mounted</t>
  </si>
  <si>
    <t>Area-weighted Performance Rating</t>
  </si>
  <si>
    <t>Skylights</t>
  </si>
  <si>
    <t>ALL CLIMATE ZONES</t>
  </si>
  <si>
    <t>GLAZED DOORS</t>
  </si>
  <si>
    <t>OPERABLE WINDOW</t>
  </si>
  <si>
    <t>CURTAIN WALL OR STOREFRONT</t>
  </si>
  <si>
    <t>FIXED WINDOW</t>
  </si>
  <si>
    <t>Vertical</t>
  </si>
  <si>
    <t>Fenstration</t>
  </si>
  <si>
    <t>Envelope</t>
  </si>
  <si>
    <t>Swinging</t>
  </si>
  <si>
    <t>Nonswinging</t>
  </si>
  <si>
    <t>Exterior Doors, Maximum U-factor</t>
  </si>
  <si>
    <t>Air Barrier</t>
  </si>
  <si>
    <t>Thermal emittance</t>
  </si>
  <si>
    <t>Aged solar reflectance</t>
  </si>
  <si>
    <t>Steep-sloped</t>
  </si>
  <si>
    <t>Low-sloped</t>
  </si>
  <si>
    <t>Roofing Products</t>
  </si>
  <si>
    <t>Other</t>
  </si>
  <si>
    <t>Raised mass</t>
  </si>
  <si>
    <t>Floors/Soffits</t>
  </si>
  <si>
    <t>Wood-framed and other</t>
  </si>
  <si>
    <t>Mass heavy</t>
  </si>
  <si>
    <t>Mass light</t>
  </si>
  <si>
    <t>Metal-framed</t>
  </si>
  <si>
    <t>Metal building</t>
  </si>
  <si>
    <t>Walls</t>
  </si>
  <si>
    <t>Metal Building</t>
  </si>
  <si>
    <t>Roofs/Ceilings</t>
  </si>
  <si>
    <t>Maximum U-factor</t>
  </si>
  <si>
    <t>Enter Zone Number --&gt;</t>
  </si>
  <si>
    <t>Index</t>
  </si>
  <si>
    <t>Zone</t>
  </si>
  <si>
    <t>Table 140.3-B</t>
  </si>
  <si>
    <t>REQ</t>
  </si>
  <si>
    <t>16</t>
  </si>
  <si>
    <t>15</t>
  </si>
  <si>
    <t>14</t>
  </si>
  <si>
    <t>13</t>
  </si>
  <si>
    <t>12</t>
  </si>
  <si>
    <t>11</t>
  </si>
  <si>
    <t>10</t>
  </si>
  <si>
    <t>9</t>
  </si>
  <si>
    <t>8</t>
  </si>
  <si>
    <t>7</t>
  </si>
  <si>
    <t>6</t>
  </si>
  <si>
    <t>5</t>
  </si>
  <si>
    <t>4</t>
  </si>
  <si>
    <t>3</t>
  </si>
  <si>
    <t>2</t>
  </si>
  <si>
    <t>1</t>
  </si>
  <si>
    <t>Climate Zone</t>
  </si>
  <si>
    <t>Maximum SRR%</t>
  </si>
  <si>
    <t>Area-Weighted performance rating</t>
  </si>
  <si>
    <t>Maximum WWR%</t>
  </si>
  <si>
    <t>Glazed Doors</t>
  </si>
  <si>
    <t>Curtainwall or Storefront</t>
  </si>
  <si>
    <t>Operable Window</t>
  </si>
  <si>
    <t>Fixed Window</t>
  </si>
  <si>
    <t>Table 140.3-C</t>
  </si>
  <si>
    <r>
      <t>kW</t>
    </r>
    <r>
      <rPr>
        <vertAlign val="subscript"/>
        <sz val="11"/>
        <color theme="1"/>
        <rFont val="Aptos Narrow"/>
        <family val="2"/>
        <scheme val="minor"/>
      </rPr>
      <t>PVdc</t>
    </r>
    <r>
      <rPr>
        <sz val="11"/>
        <color theme="1"/>
        <rFont val="Aptos Narrow"/>
        <family val="2"/>
        <scheme val="minor"/>
      </rPr>
      <t>=(CFA x A)/1000</t>
    </r>
  </si>
  <si>
    <t>Equation 140.10-A</t>
  </si>
  <si>
    <t>CFA = Conditioned Floor area in square feet.</t>
  </si>
  <si>
    <t>A = PV capacity factor specified in Table 140.10-A for the building type</t>
  </si>
  <si>
    <r>
      <t>kW</t>
    </r>
    <r>
      <rPr>
        <vertAlign val="subscript"/>
        <sz val="11"/>
        <color theme="1"/>
        <rFont val="Aptos Narrow"/>
        <family val="2"/>
        <scheme val="minor"/>
      </rPr>
      <t>PVdc</t>
    </r>
    <r>
      <rPr>
        <sz val="11"/>
        <color theme="1"/>
        <rFont val="Aptos Narrow"/>
        <family val="2"/>
        <scheme val="minor"/>
      </rPr>
      <t xml:space="preserve"> = Size of PV system in kW.</t>
    </r>
  </si>
  <si>
    <r>
      <t>FACTOR A-MINIMUM PV CAPACITY (W/ft</t>
    </r>
    <r>
      <rPr>
        <vertAlign val="superscript"/>
        <sz val="11"/>
        <color theme="1"/>
        <rFont val="Aptos Narrow"/>
        <family val="2"/>
        <scheme val="minor"/>
      </rPr>
      <t>2</t>
    </r>
    <r>
      <rPr>
        <sz val="11"/>
        <color theme="1"/>
        <rFont val="Aptos Narrow"/>
        <family val="2"/>
        <scheme val="minor"/>
      </rPr>
      <t xml:space="preserve"> of conditioned floor area)</t>
    </r>
  </si>
  <si>
    <t>CLIMATE ZONE</t>
  </si>
  <si>
    <t>Grocery</t>
  </si>
  <si>
    <t>High-Rise Multifamily</t>
  </si>
  <si>
    <t>Office, Financial Institutions, Unleased Tenant Space</t>
  </si>
  <si>
    <t>Retail</t>
  </si>
  <si>
    <t>School</t>
  </si>
  <si>
    <t>Warehouse</t>
  </si>
  <si>
    <t>Auditorium, Convention Center, Hotel/Motel, Library, Medical Office, Building/Clinic, Restaurant, Theater</t>
  </si>
  <si>
    <t>1,3,5,16</t>
  </si>
  <si>
    <t>2,4,6-14</t>
  </si>
  <si>
    <t>Table 140.10-A</t>
  </si>
  <si>
    <t>Equation 140.10-B</t>
  </si>
  <si>
    <r>
      <t>kWh</t>
    </r>
    <r>
      <rPr>
        <vertAlign val="subscript"/>
        <sz val="11"/>
        <color theme="1"/>
        <rFont val="Aptos Narrow"/>
        <family val="2"/>
        <scheme val="minor"/>
      </rPr>
      <t>batt</t>
    </r>
    <r>
      <rPr>
        <sz val="11"/>
        <color theme="1"/>
        <rFont val="Aptos Narrow"/>
        <family val="2"/>
        <scheme val="minor"/>
      </rPr>
      <t>=kW</t>
    </r>
    <r>
      <rPr>
        <vertAlign val="subscript"/>
        <sz val="11"/>
        <color theme="1"/>
        <rFont val="Aptos Narrow"/>
        <family val="2"/>
        <scheme val="minor"/>
      </rPr>
      <t>PVdc</t>
    </r>
    <r>
      <rPr>
        <sz val="11"/>
        <color theme="1"/>
        <rFont val="Aptos Narrow"/>
        <family val="2"/>
        <scheme val="minor"/>
      </rPr>
      <t xml:space="preserve"> x B/D</t>
    </r>
    <r>
      <rPr>
        <vertAlign val="superscript"/>
        <sz val="11"/>
        <color theme="1"/>
        <rFont val="Aptos Narrow"/>
        <family val="2"/>
        <scheme val="minor"/>
      </rPr>
      <t>0.5</t>
    </r>
  </si>
  <si>
    <t>B = Battery energy capacity factor specified in Table 140.10-B for the building type.</t>
  </si>
  <si>
    <t>D = Rated single charge-discharge cycle AC to AC (round-trip) efficiency of the battery storage system.</t>
  </si>
  <si>
    <r>
      <t>kWh</t>
    </r>
    <r>
      <rPr>
        <vertAlign val="subscript"/>
        <sz val="11"/>
        <color theme="1"/>
        <rFont val="Aptos Narrow"/>
        <family val="2"/>
        <scheme val="minor"/>
      </rPr>
      <t>batt</t>
    </r>
    <r>
      <rPr>
        <sz val="11"/>
        <color theme="1"/>
        <rFont val="Aptos Narrow"/>
        <family val="2"/>
        <scheme val="minor"/>
      </rPr>
      <t xml:space="preserve"> = Rated useable energy capacity of the battery storage system in kWh.</t>
    </r>
  </si>
  <si>
    <r>
      <t>kW</t>
    </r>
    <r>
      <rPr>
        <vertAlign val="subscript"/>
        <sz val="11"/>
        <color theme="1"/>
        <rFont val="Aptos Narrow"/>
        <family val="2"/>
        <scheme val="minor"/>
      </rPr>
      <t>PVdc</t>
    </r>
    <r>
      <rPr>
        <sz val="11"/>
        <color theme="1"/>
        <rFont val="Aptos Narrow"/>
        <family val="2"/>
        <scheme val="minor"/>
      </rPr>
      <t xml:space="preserve"> = PV system capacity required by Section 140.10(a) in kWdc.</t>
    </r>
  </si>
  <si>
    <t>Table 140.10-B</t>
  </si>
  <si>
    <t>Storage-to-PV Ratio</t>
  </si>
  <si>
    <t>FACTOR B- ENERGY CAPACITY</t>
  </si>
  <si>
    <t>FACTOR C- POWER CAPACITY</t>
  </si>
  <si>
    <t>Wh/W</t>
  </si>
  <si>
    <t>W/W</t>
  </si>
  <si>
    <t>CFA</t>
  </si>
  <si>
    <r>
      <t>kW</t>
    </r>
    <r>
      <rPr>
        <vertAlign val="subscript"/>
        <sz val="11"/>
        <color theme="1"/>
        <rFont val="Aptos Narrow"/>
        <family val="2"/>
        <scheme val="minor"/>
      </rPr>
      <t>PVdc</t>
    </r>
  </si>
  <si>
    <t>Equation 140.10-C</t>
  </si>
  <si>
    <t>C = Battery power capacity factor specified in Table 140.10-B for the building type.</t>
  </si>
  <si>
    <r>
      <t>kW</t>
    </r>
    <r>
      <rPr>
        <vertAlign val="subscript"/>
        <sz val="11"/>
        <color theme="1"/>
        <rFont val="Aptos Narrow"/>
        <family val="2"/>
        <scheme val="minor"/>
      </rPr>
      <t>batt</t>
    </r>
    <r>
      <rPr>
        <sz val="11"/>
        <color theme="1"/>
        <rFont val="Aptos Narrow"/>
        <family val="2"/>
        <scheme val="minor"/>
      </rPr>
      <t xml:space="preserve"> = Power capacity of the battery storage system in kWdc</t>
    </r>
  </si>
  <si>
    <r>
      <t>kW</t>
    </r>
    <r>
      <rPr>
        <vertAlign val="subscript"/>
        <sz val="11"/>
        <color theme="1"/>
        <rFont val="Aptos Narrow"/>
        <family val="2"/>
        <scheme val="minor"/>
      </rPr>
      <t>PVdc</t>
    </r>
    <r>
      <rPr>
        <sz val="11"/>
        <color theme="1"/>
        <rFont val="Aptos Narrow"/>
        <family val="2"/>
        <scheme val="minor"/>
      </rPr>
      <t xml:space="preserve"> = PV system capacity required by Section 140.10(a) in kWdc</t>
    </r>
  </si>
  <si>
    <t>Battery</t>
  </si>
  <si>
    <t>D</t>
  </si>
  <si>
    <r>
      <t>kW</t>
    </r>
    <r>
      <rPr>
        <vertAlign val="subscript"/>
        <sz val="11"/>
        <color theme="1"/>
        <rFont val="Aptos Narrow"/>
        <family val="2"/>
        <scheme val="minor"/>
      </rPr>
      <t>batt</t>
    </r>
    <r>
      <rPr>
        <sz val="11"/>
        <color theme="1"/>
        <rFont val="Aptos Narrow"/>
        <family val="2"/>
        <scheme val="minor"/>
      </rPr>
      <t>=kW</t>
    </r>
    <r>
      <rPr>
        <vertAlign val="subscript"/>
        <sz val="11"/>
        <color theme="1"/>
        <rFont val="Aptos Narrow"/>
        <family val="2"/>
        <scheme val="minor"/>
      </rPr>
      <t>PVdc</t>
    </r>
    <r>
      <rPr>
        <sz val="11"/>
        <color theme="1"/>
        <rFont val="Aptos Narrow"/>
        <family val="2"/>
        <scheme val="minor"/>
      </rPr>
      <t xml:space="preserve"> x C</t>
    </r>
  </si>
  <si>
    <t>140.10-A</t>
  </si>
  <si>
    <t>140.10-B + 140.10-C</t>
  </si>
  <si>
    <r>
      <t>kW</t>
    </r>
    <r>
      <rPr>
        <vertAlign val="subscript"/>
        <sz val="11"/>
        <color theme="1"/>
        <rFont val="Aptos Narrow"/>
        <family val="2"/>
        <scheme val="minor"/>
      </rPr>
      <t>batt</t>
    </r>
  </si>
  <si>
    <t>XX</t>
  </si>
  <si>
    <t>Rooms</t>
  </si>
  <si>
    <t>Exterior Walls</t>
  </si>
  <si>
    <t>Slab/Floor/Roof</t>
  </si>
  <si>
    <t>Windows/Doors</t>
  </si>
  <si>
    <t>Loads</t>
  </si>
  <si>
    <t>Lighting</t>
  </si>
  <si>
    <t>Interior Surfaces</t>
  </si>
  <si>
    <t>Zone type</t>
  </si>
  <si>
    <t>Occupancy type</t>
  </si>
  <si>
    <t>PV occupancy type</t>
  </si>
  <si>
    <t>Building story &amp; floor to floor heights</t>
  </si>
  <si>
    <t>Ventilation CFM</t>
  </si>
  <si>
    <t>Exhaust CFM &amp; HP</t>
  </si>
  <si>
    <t>Toilets/Showers</t>
  </si>
  <si>
    <t>Dwelling Unit SqFt</t>
  </si>
  <si>
    <t>System</t>
  </si>
  <si>
    <t>DOAS</t>
  </si>
  <si>
    <t>Outside air location</t>
  </si>
  <si>
    <t>Multiplier</t>
  </si>
  <si>
    <t>Smallest System avaliable</t>
  </si>
  <si>
    <t>Plant</t>
  </si>
  <si>
    <t>Building</t>
  </si>
  <si>
    <t>Orientation &amp; Rotation</t>
  </si>
  <si>
    <t>PV &amp; Battery</t>
  </si>
  <si>
    <t>Assemblys</t>
  </si>
  <si>
    <t>U-Value &amp; composition</t>
  </si>
  <si>
    <t>U-Value</t>
  </si>
  <si>
    <t>Floor</t>
  </si>
  <si>
    <t>Roof</t>
  </si>
  <si>
    <t>Fenstrations</t>
  </si>
  <si>
    <t>SHGC</t>
  </si>
  <si>
    <t>VT</t>
  </si>
  <si>
    <t>Fixed/Operable</t>
  </si>
  <si>
    <t>Residential/Commercial</t>
  </si>
  <si>
    <t>Central</t>
  </si>
  <si>
    <t>All Mechanical Equipment</t>
  </si>
  <si>
    <t>System Type</t>
  </si>
  <si>
    <t>Heating</t>
  </si>
  <si>
    <t>Total Output</t>
  </si>
  <si>
    <t>Output @ 17F</t>
  </si>
  <si>
    <t>Supply temp</t>
  </si>
  <si>
    <t>Efficiency</t>
  </si>
  <si>
    <t>Supplemental Heat</t>
  </si>
  <si>
    <t>Cooling</t>
  </si>
  <si>
    <t>Sensible Output</t>
  </si>
  <si>
    <t>Exhaust Continuous y/n</t>
  </si>
  <si>
    <t>Controls</t>
  </si>
  <si>
    <t>Continuous/Intermittent</t>
  </si>
  <si>
    <t>Fans</t>
  </si>
  <si>
    <t>CFM &amp; HP/Wattage</t>
  </si>
  <si>
    <t>Boiler</t>
  </si>
  <si>
    <t>Volume</t>
  </si>
  <si>
    <t>Type</t>
  </si>
  <si>
    <t>Input Rating</t>
  </si>
  <si>
    <t>Pumps</t>
  </si>
  <si>
    <t>EnergyPro</t>
  </si>
  <si>
    <t>Current Version</t>
  </si>
  <si>
    <t>Calculation</t>
  </si>
  <si>
    <t>Calculation Type</t>
  </si>
  <si>
    <t>Performance/Perscriptive</t>
  </si>
  <si>
    <t>Duplicate Floors</t>
  </si>
  <si>
    <t>Replace Wizard. Load Assumptions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</si>
</sst>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9" x14ac:knownFonts="1">
    <font>
      <sz val="11"/>
      <color theme="1"/>
      <name val="Aptos Narrow"/>
      <family val="2"/>
      <scheme val="minor"/>
    </font>
    <font>
      <b/>
      <sz val="11"/>
      <color theme="1"/>
      <name val="Aptos Narrow"/>
      <family val="2"/>
      <scheme val="minor"/>
    </font>
    <font>
      <b/>
      <sz val="16"/>
      <color theme="1"/>
      <name val="Aptos Narrow"/>
      <family val="2"/>
      <scheme val="minor"/>
    </font>
    <font>
      <sz val="8"/>
      <name val="Aptos Narrow"/>
      <family val="2"/>
      <scheme val="minor"/>
    </font>
    <font>
      <sz val="11"/>
      <color theme="1"/>
      <name val="Aptos Narrow"/>
      <family val="2"/>
      <scheme val="minor"/>
    </font>
    <font>
      <sz val="11"/>
      <color rgb="FF000000"/>
      <name val="Aptos Narrow"/>
      <family val="2"/>
      <scheme val="minor"/>
    </font>
    <font>
      <vertAlign val="subscript"/>
      <sz val="11"/>
      <color theme="1"/>
      <name val="Aptos Narrow"/>
      <family val="2"/>
      <scheme val="minor"/>
    </font>
    <font>
      <sz val="11"/>
      <color rgb="FF000000"/>
      <name val="Aptos Narrow"/>
      <family val="2"/>
    </font>
    <font>
      <vertAlign val="superscript"/>
      <sz val="11"/>
      <color theme="1"/>
      <name val="Aptos Narrow"/>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66">
    <xf numFmtId="0" fontId="0" fillId="0" borderId="0" xfId="0"/>
    <xf numFmtId="0" fontId="0" fillId="0" borderId="0" xfId="0" applyAlignment="1">
      <alignment horizontal="center"/>
    </xf>
    <xf numFmtId="0" fontId="0" fillId="0" borderId="1" xfId="0" applyBorder="1"/>
    <xf numFmtId="0" fontId="1" fillId="0" borderId="0" xfId="0" applyFont="1"/>
    <xf numFmtId="0" fontId="1" fillId="0" borderId="0" xfId="0" applyFont="1" applyAlignment="1">
      <alignment horizontal="center"/>
    </xf>
    <xf numFmtId="0" fontId="0" fillId="3" borderId="1" xfId="0" applyFill="1" applyBorder="1"/>
    <xf numFmtId="0" fontId="1" fillId="2" borderId="0" xfId="0" applyFont="1" applyFill="1"/>
    <xf numFmtId="0" fontId="0" fillId="2" borderId="1" xfId="0" applyFill="1" applyBorder="1"/>
    <xf numFmtId="0" fontId="0" fillId="3" borderId="1" xfId="0" applyFill="1" applyBorder="1" applyAlignment="1">
      <alignment horizontal="center" vertical="center"/>
    </xf>
    <xf numFmtId="0" fontId="0" fillId="3" borderId="1" xfId="0" applyFill="1" applyBorder="1" applyAlignment="1">
      <alignment horizontal="center"/>
    </xf>
    <xf numFmtId="0" fontId="0" fillId="2" borderId="1" xfId="0" applyFill="1" applyBorder="1" applyAlignment="1">
      <alignment horizontal="center" vertical="center"/>
    </xf>
    <xf numFmtId="0" fontId="0" fillId="2" borderId="1" xfId="0" applyFill="1" applyBorder="1" applyAlignment="1">
      <alignment horizontal="center"/>
    </xf>
    <xf numFmtId="0" fontId="0" fillId="4" borderId="1" xfId="0" applyFill="1" applyBorder="1" applyAlignment="1">
      <alignment horizontal="center" vertical="center"/>
    </xf>
    <xf numFmtId="0" fontId="1" fillId="4" borderId="0" xfId="0" applyFont="1" applyFill="1"/>
    <xf numFmtId="0" fontId="2" fillId="0" borderId="0" xfId="0" applyFont="1" applyAlignment="1">
      <alignment horizontal="left"/>
    </xf>
    <xf numFmtId="0" fontId="5" fillId="0" borderId="0" xfId="0" applyFont="1"/>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5" borderId="1" xfId="0" applyFill="1" applyBorder="1" applyAlignment="1">
      <alignment horizontal="center" vertical="center"/>
    </xf>
    <xf numFmtId="0" fontId="0" fillId="5" borderId="2" xfId="0" applyFill="1" applyBorder="1"/>
    <xf numFmtId="0" fontId="1" fillId="5" borderId="1" xfId="0" applyFont="1" applyFill="1" applyBorder="1" applyAlignment="1">
      <alignment horizontal="center" vertical="center"/>
    </xf>
    <xf numFmtId="0" fontId="1" fillId="5"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xf numFmtId="0" fontId="0" fillId="5" borderId="6" xfId="0" applyFill="1" applyBorder="1"/>
    <xf numFmtId="0" fontId="0" fillId="5" borderId="9" xfId="0" applyFill="1" applyBorder="1"/>
    <xf numFmtId="0" fontId="1" fillId="5" borderId="12" xfId="0" applyFont="1" applyFill="1" applyBorder="1" applyAlignment="1">
      <alignment horizontal="center" vertical="center"/>
    </xf>
    <xf numFmtId="0" fontId="1" fillId="0" borderId="0" xfId="0" applyFont="1" applyAlignment="1">
      <alignment horizontal="right"/>
    </xf>
    <xf numFmtId="0" fontId="1" fillId="0" borderId="1" xfId="0" applyFont="1" applyBorder="1" applyAlignment="1">
      <alignment horizontal="center" vertical="center"/>
    </xf>
    <xf numFmtId="9" fontId="0" fillId="0" borderId="4" xfId="1" applyFont="1" applyBorder="1" applyAlignment="1">
      <alignment horizontal="center" vertical="center"/>
    </xf>
    <xf numFmtId="1" fontId="0" fillId="0" borderId="12" xfId="0" applyNumberFormat="1" applyBorder="1" applyAlignment="1">
      <alignment horizontal="center" vertical="center"/>
    </xf>
    <xf numFmtId="0" fontId="0" fillId="0" borderId="16" xfId="0" applyBorder="1"/>
    <xf numFmtId="0" fontId="0" fillId="0" borderId="10" xfId="0" applyBorder="1"/>
    <xf numFmtId="2" fontId="0" fillId="0" borderId="4" xfId="0" applyNumberFormat="1" applyBorder="1" applyAlignment="1">
      <alignment horizontal="center" vertical="center"/>
    </xf>
    <xf numFmtId="0" fontId="0" fillId="0" borderId="16" xfId="0" applyBorder="1" applyAlignment="1">
      <alignment vertical="center" wrapText="1"/>
    </xf>
    <xf numFmtId="0" fontId="0" fillId="0" borderId="10" xfId="0" applyBorder="1" applyAlignment="1">
      <alignment vertical="center" wrapText="1"/>
    </xf>
    <xf numFmtId="2" fontId="0" fillId="0" borderId="13" xfId="0" applyNumberFormat="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2" fontId="1" fillId="0" borderId="1" xfId="0" applyNumberFormat="1" applyFont="1" applyBorder="1" applyAlignment="1">
      <alignment horizontal="center" vertical="center"/>
    </xf>
    <xf numFmtId="2" fontId="1" fillId="0" borderId="13" xfId="0" applyNumberFormat="1" applyFont="1" applyBorder="1" applyAlignment="1">
      <alignment horizontal="center" vertical="center"/>
    </xf>
    <xf numFmtId="2" fontId="0" fillId="0" borderId="3" xfId="0" applyNumberFormat="1" applyBorder="1" applyAlignment="1">
      <alignment horizontal="center" vertical="center"/>
    </xf>
    <xf numFmtId="2" fontId="0" fillId="0" borderId="12" xfId="0" applyNumberFormat="1" applyBorder="1" applyAlignment="1">
      <alignment horizontal="center" vertical="center"/>
    </xf>
    <xf numFmtId="0" fontId="0" fillId="0" borderId="12" xfId="0" applyBorder="1" applyAlignment="1">
      <alignment horizontal="center" vertical="center" wrapText="1"/>
    </xf>
    <xf numFmtId="0" fontId="0" fillId="0" borderId="1" xfId="0" applyBorder="1" applyAlignment="1">
      <alignment horizontal="center" vertical="center" wrapText="1"/>
    </xf>
    <xf numFmtId="2" fontId="0" fillId="0" borderId="10" xfId="0" applyNumberFormat="1" applyBorder="1" applyAlignment="1">
      <alignment horizontal="center" vertical="center"/>
    </xf>
    <xf numFmtId="164" fontId="0" fillId="0" borderId="10" xfId="0" applyNumberFormat="1" applyBorder="1" applyAlignment="1">
      <alignment horizontal="center" vertical="center"/>
    </xf>
    <xf numFmtId="164" fontId="0" fillId="0" borderId="1" xfId="0" applyNumberFormat="1" applyBorder="1" applyAlignment="1">
      <alignment horizontal="center" vertical="center"/>
    </xf>
    <xf numFmtId="164" fontId="0" fillId="0" borderId="13" xfId="0" applyNumberFormat="1" applyBorder="1" applyAlignment="1">
      <alignment horizontal="center" vertical="center"/>
    </xf>
    <xf numFmtId="1" fontId="0" fillId="0" borderId="9" xfId="0" applyNumberFormat="1" applyBorder="1" applyAlignment="1">
      <alignment horizontal="center" vertical="center"/>
    </xf>
    <xf numFmtId="0" fontId="0" fillId="0" borderId="9" xfId="0" applyBorder="1" applyAlignment="1">
      <alignment horizontal="center" vertical="center" wrapText="1"/>
    </xf>
    <xf numFmtId="1" fontId="1" fillId="0" borderId="7" xfId="0" applyNumberFormat="1" applyFont="1" applyBorder="1" applyAlignment="1">
      <alignment horizontal="center" vertical="center"/>
    </xf>
    <xf numFmtId="1" fontId="1" fillId="0" borderId="9" xfId="0" applyNumberFormat="1" applyFont="1" applyBorder="1" applyAlignment="1">
      <alignment horizontal="center" vertical="center"/>
    </xf>
    <xf numFmtId="1" fontId="1" fillId="0" borderId="8" xfId="0" applyNumberFormat="1" applyFont="1" applyBorder="1" applyAlignment="1">
      <alignment horizontal="center" vertical="center"/>
    </xf>
    <xf numFmtId="0" fontId="1" fillId="0" borderId="1" xfId="0" applyFont="1" applyBorder="1" applyAlignment="1">
      <alignment horizontal="center"/>
    </xf>
    <xf numFmtId="0" fontId="0" fillId="5" borderId="1" xfId="0" applyFill="1" applyBorder="1" applyAlignment="1">
      <alignment vertical="center"/>
    </xf>
    <xf numFmtId="0" fontId="0" fillId="5" borderId="12" xfId="0" applyFill="1" applyBorder="1" applyAlignment="1">
      <alignment horizontal="center" vertical="center" wrapText="1"/>
    </xf>
    <xf numFmtId="0" fontId="1" fillId="5" borderId="12" xfId="0" applyFont="1" applyFill="1" applyBorder="1" applyAlignment="1">
      <alignment horizontal="center" vertical="center" wrapText="1"/>
    </xf>
    <xf numFmtId="0" fontId="0" fillId="5" borderId="10" xfId="0" applyFill="1" applyBorder="1" applyAlignment="1">
      <alignment horizontal="center" vertical="center"/>
    </xf>
    <xf numFmtId="164" fontId="0" fillId="0" borderId="7" xfId="0" applyNumberFormat="1" applyBorder="1" applyAlignment="1">
      <alignment horizontal="center" vertical="center"/>
    </xf>
    <xf numFmtId="164" fontId="0" fillId="0" borderId="9" xfId="0" applyNumberFormat="1" applyBorder="1" applyAlignment="1">
      <alignment horizontal="center" vertical="center"/>
    </xf>
    <xf numFmtId="164" fontId="0" fillId="0" borderId="8" xfId="0" applyNumberFormat="1" applyBorder="1" applyAlignment="1">
      <alignment horizontal="center" vertical="center"/>
    </xf>
    <xf numFmtId="0" fontId="1" fillId="0" borderId="9" xfId="0" applyFont="1" applyBorder="1" applyAlignment="1">
      <alignment horizontal="center" vertical="center"/>
    </xf>
    <xf numFmtId="2" fontId="0" fillId="0" borderId="17" xfId="0" applyNumberFormat="1" applyBorder="1" applyAlignment="1">
      <alignment horizontal="center" vertical="center"/>
    </xf>
    <xf numFmtId="2" fontId="0" fillId="0" borderId="14" xfId="0" applyNumberFormat="1" applyBorder="1" applyAlignment="1">
      <alignment horizontal="center" vertical="center"/>
    </xf>
    <xf numFmtId="2" fontId="0" fillId="0" borderId="18" xfId="0" applyNumberFormat="1" applyBorder="1" applyAlignment="1">
      <alignment horizontal="center" vertical="center"/>
    </xf>
    <xf numFmtId="1" fontId="0" fillId="0" borderId="14" xfId="0" applyNumberFormat="1" applyBorder="1" applyAlignment="1">
      <alignment horizontal="center" vertical="center"/>
    </xf>
    <xf numFmtId="0" fontId="0" fillId="0" borderId="14" xfId="0" applyBorder="1" applyAlignment="1">
      <alignment horizontal="center" vertical="center" wrapText="1"/>
    </xf>
    <xf numFmtId="2" fontId="0" fillId="0" borderId="20" xfId="0" applyNumberFormat="1" applyBorder="1" applyAlignment="1">
      <alignment horizontal="center" vertical="center"/>
    </xf>
    <xf numFmtId="2" fontId="0" fillId="0" borderId="21" xfId="0" applyNumberFormat="1" applyBorder="1" applyAlignment="1">
      <alignment horizontal="center" vertical="center"/>
    </xf>
    <xf numFmtId="164" fontId="0" fillId="0" borderId="22"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center" vertical="center" wrapText="1"/>
    </xf>
    <xf numFmtId="0" fontId="0" fillId="0" borderId="23" xfId="0" applyBorder="1" applyAlignment="1">
      <alignment horizontal="center" vertical="center" wrapText="1"/>
    </xf>
    <xf numFmtId="164" fontId="0" fillId="0" borderId="18" xfId="0" applyNumberFormat="1" applyBorder="1" applyAlignment="1">
      <alignment horizontal="center" vertical="center"/>
    </xf>
    <xf numFmtId="164" fontId="0" fillId="0" borderId="14" xfId="0" applyNumberFormat="1" applyBorder="1" applyAlignment="1">
      <alignment horizontal="center" vertical="center"/>
    </xf>
    <xf numFmtId="164" fontId="0" fillId="0" borderId="21" xfId="0" applyNumberFormat="1" applyBorder="1" applyAlignment="1">
      <alignment horizontal="center" vertical="center"/>
    </xf>
    <xf numFmtId="164" fontId="0" fillId="0" borderId="24" xfId="0" applyNumberFormat="1" applyBorder="1" applyAlignment="1">
      <alignment horizontal="center" vertical="center"/>
    </xf>
    <xf numFmtId="164" fontId="0" fillId="0" borderId="26" xfId="0" applyNumberFormat="1" applyBorder="1" applyAlignment="1">
      <alignment horizontal="center" vertical="center"/>
    </xf>
    <xf numFmtId="164" fontId="0" fillId="0" borderId="12" xfId="0" applyNumberFormat="1" applyBorder="1" applyAlignment="1">
      <alignment horizontal="center" vertical="center"/>
    </xf>
    <xf numFmtId="164" fontId="0" fillId="0" borderId="4" xfId="0" applyNumberFormat="1" applyBorder="1" applyAlignment="1">
      <alignment horizontal="center" vertical="center"/>
    </xf>
    <xf numFmtId="0" fontId="0" fillId="0" borderId="27" xfId="0" applyBorder="1" applyAlignment="1">
      <alignment horizontal="center" vertical="center" wrapText="1"/>
    </xf>
    <xf numFmtId="164" fontId="0" fillId="0" borderId="20" xfId="0" applyNumberFormat="1" applyBorder="1" applyAlignment="1">
      <alignment horizontal="center" vertical="center"/>
    </xf>
    <xf numFmtId="1" fontId="1" fillId="0" borderId="5" xfId="0" applyNumberFormat="1" applyFont="1" applyBorder="1" applyAlignment="1">
      <alignment horizontal="center" vertical="center"/>
    </xf>
    <xf numFmtId="1" fontId="1" fillId="0" borderId="11" xfId="0" applyNumberFormat="1" applyFont="1" applyBorder="1" applyAlignment="1">
      <alignment horizontal="center" vertical="center"/>
    </xf>
    <xf numFmtId="1" fontId="1" fillId="0" borderId="6" xfId="0" applyNumberFormat="1" applyFont="1" applyBorder="1" applyAlignment="1">
      <alignment horizontal="center" vertical="center"/>
    </xf>
    <xf numFmtId="0" fontId="0" fillId="5" borderId="10" xfId="0" applyFill="1" applyBorder="1" applyAlignment="1">
      <alignment horizontal="center" vertical="center" wrapText="1"/>
    </xf>
    <xf numFmtId="0" fontId="0" fillId="5" borderId="28" xfId="0" applyFill="1" applyBorder="1" applyAlignment="1">
      <alignment horizontal="center" vertical="center" wrapText="1"/>
    </xf>
    <xf numFmtId="0" fontId="0" fillId="5" borderId="29" xfId="0" applyFill="1" applyBorder="1" applyAlignment="1">
      <alignment horizontal="center" vertical="center"/>
    </xf>
    <xf numFmtId="0" fontId="0" fillId="5" borderId="30" xfId="0" applyFill="1" applyBorder="1" applyAlignment="1">
      <alignment horizontal="center" vertical="center"/>
    </xf>
    <xf numFmtId="0" fontId="0" fillId="5" borderId="31" xfId="0" applyFill="1" applyBorder="1" applyAlignment="1">
      <alignment horizontal="center" vertical="center"/>
    </xf>
    <xf numFmtId="0" fontId="1" fillId="0" borderId="31" xfId="0" applyFont="1" applyBorder="1"/>
    <xf numFmtId="0" fontId="0" fillId="0" borderId="0" xfId="0" applyAlignment="1">
      <alignment horizontal="left"/>
    </xf>
    <xf numFmtId="0" fontId="2" fillId="0" borderId="0" xfId="0" applyFont="1" applyAlignment="1">
      <alignment horizontal="left"/>
    </xf>
    <xf numFmtId="0" fontId="1" fillId="0" borderId="2" xfId="0" applyFont="1" applyBorder="1" applyAlignment="1">
      <alignment horizontal="left"/>
    </xf>
    <xf numFmtId="0" fontId="0" fillId="0" borderId="1" xfId="0" applyBorder="1" applyAlignment="1">
      <alignment horizontal="left"/>
    </xf>
    <xf numFmtId="0" fontId="0" fillId="5" borderId="29" xfId="0" applyFill="1" applyBorder="1" applyAlignment="1">
      <alignment horizontal="center" vertical="center"/>
    </xf>
    <xf numFmtId="0" fontId="0" fillId="5" borderId="30" xfId="0" applyFill="1" applyBorder="1" applyAlignment="1">
      <alignment horizontal="center" vertical="center"/>
    </xf>
    <xf numFmtId="0" fontId="0" fillId="5" borderId="31" xfId="0" applyFill="1" applyBorder="1" applyAlignment="1">
      <alignment horizontal="center" vertical="center"/>
    </xf>
    <xf numFmtId="0" fontId="1" fillId="5" borderId="12" xfId="0" applyFont="1" applyFill="1" applyBorder="1" applyAlignment="1">
      <alignment horizontal="center" vertical="center"/>
    </xf>
    <xf numFmtId="0" fontId="1" fillId="5" borderId="11" xfId="0" applyFont="1" applyFill="1" applyBorder="1" applyAlignment="1">
      <alignment horizontal="center" vertical="center"/>
    </xf>
    <xf numFmtId="0" fontId="1" fillId="5" borderId="15"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12" xfId="0" applyFont="1" applyFill="1" applyBorder="1" applyAlignment="1">
      <alignment horizontal="center" vertical="center" wrapText="1"/>
    </xf>
    <xf numFmtId="0" fontId="1" fillId="5" borderId="11" xfId="0" applyFont="1" applyFill="1" applyBorder="1" applyAlignment="1">
      <alignment horizontal="center" vertical="center" wrapText="1"/>
    </xf>
    <xf numFmtId="0" fontId="1" fillId="5" borderId="9" xfId="0" applyFont="1" applyFill="1" applyBorder="1" applyAlignment="1">
      <alignment horizontal="center"/>
    </xf>
    <xf numFmtId="0" fontId="1" fillId="5" borderId="1" xfId="0" applyFont="1" applyFill="1" applyBorder="1" applyAlignment="1">
      <alignment horizontal="center" vertical="center"/>
    </xf>
    <xf numFmtId="0" fontId="1" fillId="5" borderId="10" xfId="0" applyFont="1" applyFill="1" applyBorder="1" applyAlignment="1">
      <alignment horizontal="center" vertical="center"/>
    </xf>
    <xf numFmtId="9" fontId="0" fillId="5" borderId="29" xfId="0" applyNumberFormat="1" applyFill="1" applyBorder="1" applyAlignment="1">
      <alignment horizontal="center" vertical="center"/>
    </xf>
    <xf numFmtId="9" fontId="0" fillId="5" borderId="29" xfId="1" applyFont="1" applyFill="1" applyBorder="1" applyAlignment="1">
      <alignment horizontal="center" vertical="center"/>
    </xf>
    <xf numFmtId="9" fontId="0" fillId="5" borderId="30" xfId="1" applyFont="1" applyFill="1" applyBorder="1" applyAlignment="1">
      <alignment horizontal="center" vertical="center"/>
    </xf>
    <xf numFmtId="9" fontId="0" fillId="5" borderId="31" xfId="1" applyFont="1" applyFill="1" applyBorder="1" applyAlignment="1">
      <alignment horizontal="center" vertical="center"/>
    </xf>
    <xf numFmtId="0" fontId="1" fillId="5" borderId="3" xfId="0" applyFont="1" applyFill="1" applyBorder="1" applyAlignment="1">
      <alignment horizontal="center" vertical="center"/>
    </xf>
    <xf numFmtId="0" fontId="1" fillId="5" borderId="1" xfId="0" applyFont="1" applyFill="1" applyBorder="1" applyAlignment="1">
      <alignment horizontal="center" vertical="center" wrapText="1"/>
    </xf>
    <xf numFmtId="0" fontId="0" fillId="5" borderId="10" xfId="0" applyFill="1" applyBorder="1" applyAlignment="1">
      <alignment horizontal="center"/>
    </xf>
    <xf numFmtId="0" fontId="0" fillId="5" borderId="13" xfId="0" applyFill="1" applyBorder="1" applyAlignment="1">
      <alignment horizontal="center"/>
    </xf>
    <xf numFmtId="0" fontId="0" fillId="5" borderId="1" xfId="0" applyFill="1" applyBorder="1" applyAlignment="1">
      <alignment horizontal="center"/>
    </xf>
    <xf numFmtId="0" fontId="0" fillId="5" borderId="1"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9" xfId="0" applyFill="1" applyBorder="1" applyAlignment="1">
      <alignment horizontal="center"/>
    </xf>
    <xf numFmtId="0" fontId="0" fillId="5" borderId="7" xfId="0" applyFill="1" applyBorder="1" applyAlignment="1">
      <alignment horizontal="center"/>
    </xf>
    <xf numFmtId="0" fontId="1" fillId="5" borderId="7" xfId="0" applyFont="1" applyFill="1" applyBorder="1" applyAlignment="1">
      <alignment horizontal="center" vertical="center" wrapText="1"/>
    </xf>
    <xf numFmtId="0" fontId="1" fillId="5" borderId="13" xfId="0" applyFont="1" applyFill="1" applyBorder="1" applyAlignment="1">
      <alignment horizontal="center" vertical="center" wrapText="1"/>
    </xf>
    <xf numFmtId="0" fontId="1" fillId="5" borderId="13" xfId="0" applyFont="1" applyFill="1" applyBorder="1" applyAlignment="1">
      <alignment horizontal="center" vertical="center"/>
    </xf>
    <xf numFmtId="0" fontId="1" fillId="5" borderId="14" xfId="0" applyFont="1" applyFill="1" applyBorder="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10"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1" xfId="0" applyFont="1" applyBorder="1" applyAlignment="1">
      <alignment horizontal="center"/>
    </xf>
    <xf numFmtId="0" fontId="0" fillId="0" borderId="1" xfId="0" applyBorder="1" applyAlignment="1">
      <alignment horizontal="center" vertical="center" wrapText="1"/>
    </xf>
    <xf numFmtId="9" fontId="0" fillId="5" borderId="1" xfId="0" applyNumberFormat="1" applyFill="1" applyBorder="1" applyAlignment="1">
      <alignment horizontal="center" vertical="center"/>
    </xf>
    <xf numFmtId="0" fontId="1" fillId="5" borderId="4" xfId="0" applyFont="1" applyFill="1" applyBorder="1" applyAlignment="1">
      <alignment horizontal="center" vertical="center" wrapText="1"/>
    </xf>
    <xf numFmtId="0" fontId="0" fillId="5" borderId="1" xfId="0" applyFill="1" applyBorder="1" applyAlignment="1">
      <alignment horizontal="center" vertical="center"/>
    </xf>
    <xf numFmtId="0" fontId="0" fillId="0" borderId="23" xfId="0" applyBorder="1" applyAlignment="1">
      <alignment horizontal="center" vertical="center" wrapText="1"/>
    </xf>
    <xf numFmtId="0" fontId="0" fillId="0" borderId="19" xfId="0" applyBorder="1" applyAlignment="1">
      <alignment horizontal="center" vertical="center" wrapText="1"/>
    </xf>
    <xf numFmtId="0" fontId="1" fillId="0" borderId="9" xfId="0" applyFont="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25" xfId="0" applyBorder="1" applyAlignment="1">
      <alignment horizontal="center" vertical="center" wrapText="1"/>
    </xf>
    <xf numFmtId="0" fontId="1" fillId="0" borderId="1" xfId="0" applyFont="1" applyBorder="1" applyAlignment="1">
      <alignment horizontal="center" wrapText="1"/>
    </xf>
    <xf numFmtId="0" fontId="1" fillId="0" borderId="10" xfId="0" applyFont="1" applyBorder="1" applyAlignment="1">
      <alignment horizontal="left"/>
    </xf>
    <xf numFmtId="0" fontId="1" fillId="0" borderId="16" xfId="0" applyFont="1" applyBorder="1" applyAlignment="1">
      <alignment horizontal="left"/>
    </xf>
    <xf numFmtId="0" fontId="1" fillId="0" borderId="13" xfId="0" applyFont="1" applyBorder="1" applyAlignment="1">
      <alignment horizontal="left"/>
    </xf>
    <xf numFmtId="0" fontId="0" fillId="0" borderId="1" xfId="0" applyBorder="1" applyAlignment="1">
      <alignment horizontal="left" wrapText="1"/>
    </xf>
    <xf numFmtId="0" fontId="0" fillId="0" borderId="1" xfId="0" applyBorder="1" applyAlignment="1">
      <alignment horizontal="center" wrapText="1"/>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vertical="center"/>
    </xf>
  </cellXfs>
  <cellStyles count="2">
    <cellStyle name="Normal" xfId="0" builtinId="0"/>
    <cellStyle name="Percent" xfId="1" builtinId="5"/>
  </cellStyles>
  <dxfs count="44">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ptos Narrow"/>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ptos Narrow"/>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38100</xdr:colOff>
      <xdr:row>7</xdr:row>
      <xdr:rowOff>19050</xdr:rowOff>
    </xdr:from>
    <xdr:to>
      <xdr:col>14</xdr:col>
      <xdr:colOff>485775</xdr:colOff>
      <xdr:row>31</xdr:row>
      <xdr:rowOff>28575</xdr:rowOff>
    </xdr:to>
    <xdr:sp macro="" textlink="">
      <xdr:nvSpPr>
        <xdr:cNvPr id="2" name="TextBox 1">
          <a:extLst>
            <a:ext uri="{FF2B5EF4-FFF2-40B4-BE49-F238E27FC236}">
              <a16:creationId xmlns:a16="http://schemas.microsoft.com/office/drawing/2014/main" id="{17E52D9D-4681-F86B-7046-E352C77D6EC5}"/>
            </a:ext>
          </a:extLst>
        </xdr:cNvPr>
        <xdr:cNvSpPr txBox="1"/>
      </xdr:nvSpPr>
      <xdr:spPr>
        <a:xfrm>
          <a:off x="38100" y="1352550"/>
          <a:ext cx="8982075" cy="458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a:p>
          <a:r>
            <a:rPr lang="en-US" sz="1100" b="1"/>
            <a:t> **Disclaimer**</a:t>
          </a:r>
        </a:p>
        <a:p>
          <a:endParaRPr lang="en-US" sz="1100"/>
        </a:p>
        <a:p>
          <a:r>
            <a:rPr lang="en-US" sz="1100" b="1"/>
            <a:t>**Important Notice:**</a:t>
          </a:r>
        </a:p>
        <a:p>
          <a:endParaRPr lang="en-US" sz="1100"/>
        </a:p>
        <a:p>
          <a:r>
            <a:rPr lang="en-US" sz="1100"/>
            <a:t>This Excel workbook and the tools contained herein are provided as a personal resource and are not officially supported, endorsed, or affiliated with the State of California, the California Energy Commission (CEC), or EnergyPro. I am not a certified expert or an official representative of any regulatory or software entity. I am simply an individual sharing a tool that has been useful for my own Title 24 energy compliance projects.</a:t>
          </a:r>
        </a:p>
        <a:p>
          <a:endParaRPr lang="en-US" sz="1100"/>
        </a:p>
        <a:p>
          <a:r>
            <a:rPr lang="en-US" sz="1100" b="1"/>
            <a:t>**Use at Your Own Risk:**</a:t>
          </a:r>
        </a:p>
        <a:p>
          <a:endParaRPr lang="en-US" sz="1100"/>
        </a:p>
        <a:p>
          <a:r>
            <a:rPr lang="en-US" sz="1100"/>
            <a:t>- The information and tools in this workbook are offered "as is" without any guarantees or warranties of any kind. The accuracy, completeness, and reliability of the information and tools have not been verified or certified by any official body.</a:t>
          </a:r>
        </a:p>
        <a:p>
          <a:r>
            <a:rPr lang="en-US" sz="1100"/>
            <a:t>- Users are advised to verify all information and tools against official guidelines, standards, and regulations. Consult with a qualified professional or the appropriate authorities for compliance with California Title 24 standards and regulations.</a:t>
          </a:r>
        </a:p>
        <a:p>
          <a:r>
            <a:rPr lang="en-US" sz="1100"/>
            <a:t>- I am not liable for any errors, omissions, or consequences that may arise from using this workbook. The user assumes all responsibility and risk for any actions taken based on the information and tools provided.</a:t>
          </a:r>
        </a:p>
        <a:p>
          <a:endParaRPr lang="en-US" sz="1100" b="1"/>
        </a:p>
        <a:p>
          <a:r>
            <a:rPr lang="en-US" sz="1100" b="1"/>
            <a:t>**No Official Endorsement:**</a:t>
          </a:r>
        </a:p>
        <a:p>
          <a:endParaRPr lang="en-US" sz="1100"/>
        </a:p>
        <a:p>
          <a:r>
            <a:rPr lang="en-US" sz="1100"/>
            <a:t>- This workbook is not endorsed by or associated with the California Energy Commission (CEC), the State of California, or any other official entity.</a:t>
          </a:r>
        </a:p>
        <a:p>
          <a:r>
            <a:rPr lang="en-US" sz="1100"/>
            <a:t>- The software EnergyPro and any referenced tools or standards are trademarks of their respective owners, and this workbook is not a substitute for official software or guidelines.</a:t>
          </a:r>
        </a:p>
        <a:p>
          <a:endParaRPr lang="en-US" sz="1100"/>
        </a:p>
        <a:p>
          <a:r>
            <a:rPr lang="en-US" sz="1100"/>
            <a:t>By using this workbook, you acknowledge and agree to this disclaimer. If you have any concerns or require official assistance, please refer to the appropriate regulatory bodies or professional services.</a:t>
          </a:r>
        </a:p>
      </xdr:txBody>
    </xdr:sp>
    <xdr:clientData/>
  </xdr:twoCellAnchor>
  <xdr:twoCellAnchor editAs="oneCell">
    <xdr:from>
      <xdr:col>0</xdr:col>
      <xdr:colOff>57150</xdr:colOff>
      <xdr:row>0</xdr:row>
      <xdr:rowOff>66674</xdr:rowOff>
    </xdr:from>
    <xdr:to>
      <xdr:col>12</xdr:col>
      <xdr:colOff>152400</xdr:colOff>
      <xdr:row>6</xdr:row>
      <xdr:rowOff>174383</xdr:rowOff>
    </xdr:to>
    <xdr:pic>
      <xdr:nvPicPr>
        <xdr:cNvPr id="4" name="Picture 3">
          <a:extLst>
            <a:ext uri="{FF2B5EF4-FFF2-40B4-BE49-F238E27FC236}">
              <a16:creationId xmlns:a16="http://schemas.microsoft.com/office/drawing/2014/main" id="{82F59E0E-6850-5066-DB2A-927C6E4B5F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150" y="66674"/>
          <a:ext cx="7410450" cy="12507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485775</xdr:colOff>
      <xdr:row>1</xdr:row>
      <xdr:rowOff>47625</xdr:rowOff>
    </xdr:from>
    <xdr:to>
      <xdr:col>23</xdr:col>
      <xdr:colOff>447675</xdr:colOff>
      <xdr:row>17</xdr:row>
      <xdr:rowOff>28575</xdr:rowOff>
    </xdr:to>
    <xdr:pic>
      <xdr:nvPicPr>
        <xdr:cNvPr id="2" name="Picture 1" descr="Do Or Do Not. There Is No Try. - Earnest &amp; Associates">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0" y="314325"/>
          <a:ext cx="6057900" cy="3028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219075</xdr:colOff>
          <xdr:row>9</xdr:row>
          <xdr:rowOff>114300</xdr:rowOff>
        </xdr:from>
        <xdr:to>
          <xdr:col>7</xdr:col>
          <xdr:colOff>285750</xdr:colOff>
          <xdr:row>11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Clear</a:t>
              </a:r>
            </a:p>
          </xdr:txBody>
        </xdr:sp>
        <xdr:clientData fPrintsWithSheet="0"/>
      </xdr:twoCellAnchor>
    </mc:Choice>
    <mc:Fallback/>
  </mc:AlternateContent>
  <xdr:twoCellAnchor>
    <xdr:from>
      <xdr:col>0</xdr:col>
      <xdr:colOff>304800</xdr:colOff>
      <xdr:row>27</xdr:row>
      <xdr:rowOff>47625</xdr:rowOff>
    </xdr:from>
    <xdr:to>
      <xdr:col>8</xdr:col>
      <xdr:colOff>581025</xdr:colOff>
      <xdr:row>32</xdr:row>
      <xdr:rowOff>0</xdr:rowOff>
    </xdr:to>
    <xdr:sp macro="" textlink="">
      <xdr:nvSpPr>
        <xdr:cNvPr id="3" name="TextBox 2">
          <a:extLst>
            <a:ext uri="{FF2B5EF4-FFF2-40B4-BE49-F238E27FC236}">
              <a16:creationId xmlns:a16="http://schemas.microsoft.com/office/drawing/2014/main" id="{BF02A9CC-9F97-65B2-6201-58D7956ED581}"/>
            </a:ext>
          </a:extLst>
        </xdr:cNvPr>
        <xdr:cNvSpPr txBox="1"/>
      </xdr:nvSpPr>
      <xdr:spPr>
        <a:xfrm>
          <a:off x="304800" y="5267325"/>
          <a:ext cx="5600700"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 use this page to have a record</a:t>
          </a:r>
          <a:r>
            <a:rPr lang="en-US" sz="1100" baseline="0"/>
            <a:t> of exterior wall heights and typical window and door sizes. The other primary use of this page is to quickly calculate the total square footage of a wall provided the length of the wall and the floor to floor height. This will also calculate total exterior wall perimeter for a roof. All these calculations are needed when building a roof using EnergyPro.</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266700</xdr:colOff>
      <xdr:row>12</xdr:row>
      <xdr:rowOff>85725</xdr:rowOff>
    </xdr:from>
    <xdr:to>
      <xdr:col>8</xdr:col>
      <xdr:colOff>457200</xdr:colOff>
      <xdr:row>18</xdr:row>
      <xdr:rowOff>142875</xdr:rowOff>
    </xdr:to>
    <xdr:sp macro="" textlink="">
      <xdr:nvSpPr>
        <xdr:cNvPr id="2" name="TextBox 1">
          <a:extLst>
            <a:ext uri="{FF2B5EF4-FFF2-40B4-BE49-F238E27FC236}">
              <a16:creationId xmlns:a16="http://schemas.microsoft.com/office/drawing/2014/main" id="{F02E56FB-74E7-FE95-532B-94CE1AD497E1}"/>
            </a:ext>
          </a:extLst>
        </xdr:cNvPr>
        <xdr:cNvSpPr txBox="1"/>
      </xdr:nvSpPr>
      <xdr:spPr>
        <a:xfrm>
          <a:off x="1695450" y="2447925"/>
          <a:ext cx="4533900" cy="1200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Enter Zip Code of building</a:t>
          </a:r>
          <a:r>
            <a:rPr lang="en-US" sz="1100" baseline="0"/>
            <a:t> area and it will return the building zone as per the CEC website. You may also check your results with the CEC's EZ Building Climate Zone Search Tool.</a:t>
          </a:r>
        </a:p>
        <a:p>
          <a:endParaRPr lang="en-US" sz="1100" baseline="0"/>
        </a:p>
        <a:p>
          <a:r>
            <a:rPr lang="en-US" sz="1100"/>
            <a:t>https://www.energy.ca.gov/programs-and-topics/programs/building-energy-efficiency-standards/climate-zone-tool-maps-and</a:t>
          </a:r>
        </a:p>
      </xdr:txBody>
    </xdr:sp>
    <xdr:clientData/>
  </xdr:twoCellAnchor>
  <xdr:twoCellAnchor>
    <xdr:from>
      <xdr:col>2</xdr:col>
      <xdr:colOff>266700</xdr:colOff>
      <xdr:row>7</xdr:row>
      <xdr:rowOff>171450</xdr:rowOff>
    </xdr:from>
    <xdr:to>
      <xdr:col>11</xdr:col>
      <xdr:colOff>133350</xdr:colOff>
      <xdr:row>11</xdr:row>
      <xdr:rowOff>133350</xdr:rowOff>
    </xdr:to>
    <xdr:sp macro="" textlink="">
      <xdr:nvSpPr>
        <xdr:cNvPr id="3" name="TextBox 2">
          <a:extLst>
            <a:ext uri="{FF2B5EF4-FFF2-40B4-BE49-F238E27FC236}">
              <a16:creationId xmlns:a16="http://schemas.microsoft.com/office/drawing/2014/main" id="{DE95BF9F-1553-45A0-BBB0-0C224298BE0E}"/>
            </a:ext>
          </a:extLst>
        </xdr:cNvPr>
        <xdr:cNvSpPr txBox="1"/>
      </xdr:nvSpPr>
      <xdr:spPr>
        <a:xfrm>
          <a:off x="1695450" y="1581150"/>
          <a:ext cx="603885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Disclaimer</a:t>
          </a:r>
        </a:p>
        <a:p>
          <a:r>
            <a:rPr lang="en-US" sz="1200" b="1"/>
            <a:t>Important: Verify all information with California Title 24 code and official guidelines.</a:t>
          </a:r>
          <a:r>
            <a:rPr lang="en-US" sz="1200" b="1" baseline="0"/>
            <a:t> This tool is a personal resource and not endorsed by the CEC or EnergyPro. Use at your own risk.</a:t>
          </a:r>
          <a:endParaRPr lang="en-US" sz="12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200024</xdr:colOff>
      <xdr:row>5</xdr:row>
      <xdr:rowOff>314325</xdr:rowOff>
    </xdr:from>
    <xdr:to>
      <xdr:col>11</xdr:col>
      <xdr:colOff>1428749</xdr:colOff>
      <xdr:row>9</xdr:row>
      <xdr:rowOff>28576</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6349" y="1314450"/>
          <a:ext cx="6124575" cy="771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dk1"/>
              </a:solidFill>
              <a:latin typeface="+mn-lt"/>
              <a:ea typeface="+mn-ea"/>
              <a:cs typeface="+mn-cs"/>
            </a:rPr>
            <a:t>PRESCRIPTIVE ENVELOPE CRITERIA FOR NONRESIDENTIAL BUILDINGS (INCLUDING RELOCATABLE PUBLIC SCHOOL BUILDINGS WHERE MANUFACTURER CERTIFIES USE ONLY IN SPECIFIC CLIMATE ZONE; NOT INCLUDING HIGH-RISE RESIDENTIAL BUILDINGS AND GUESTROOMS OF HOTEL/MOTEL BUILDINGS)</a:t>
          </a:r>
        </a:p>
      </xdr:txBody>
    </xdr:sp>
    <xdr:clientData/>
  </xdr:twoCellAnchor>
  <mc:AlternateContent xmlns:mc="http://schemas.openxmlformats.org/markup-compatibility/2006">
    <mc:Choice xmlns:a14="http://schemas.microsoft.com/office/drawing/2010/main" Requires="a14">
      <xdr:twoCellAnchor>
        <xdr:from>
          <xdr:col>3</xdr:col>
          <xdr:colOff>419100</xdr:colOff>
          <xdr:row>0</xdr:row>
          <xdr:rowOff>123825</xdr:rowOff>
        </xdr:from>
        <xdr:to>
          <xdr:col>4</xdr:col>
          <xdr:colOff>447675</xdr:colOff>
          <xdr:row>2</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Clear Fill</a:t>
              </a:r>
            </a:p>
          </xdr:txBody>
        </xdr:sp>
        <xdr:clientData fPrintsWithSheet="0"/>
      </xdr:twoCellAnchor>
    </mc:Choice>
    <mc:Fallback/>
  </mc:AlternateContent>
  <xdr:twoCellAnchor>
    <xdr:from>
      <xdr:col>7</xdr:col>
      <xdr:colOff>190500</xdr:colOff>
      <xdr:row>9</xdr:row>
      <xdr:rowOff>104775</xdr:rowOff>
    </xdr:from>
    <xdr:to>
      <xdr:col>11</xdr:col>
      <xdr:colOff>1400175</xdr:colOff>
      <xdr:row>12</xdr:row>
      <xdr:rowOff>95250</xdr:rowOff>
    </xdr:to>
    <xdr:sp macro="" textlink="">
      <xdr:nvSpPr>
        <xdr:cNvPr id="3" name="TextBox 2">
          <a:extLst>
            <a:ext uri="{FF2B5EF4-FFF2-40B4-BE49-F238E27FC236}">
              <a16:creationId xmlns:a16="http://schemas.microsoft.com/office/drawing/2014/main" id="{A638A6DB-8D0B-3EEB-6C74-EF233B1571A0}"/>
            </a:ext>
          </a:extLst>
        </xdr:cNvPr>
        <xdr:cNvSpPr txBox="1"/>
      </xdr:nvSpPr>
      <xdr:spPr>
        <a:xfrm>
          <a:off x="5076825" y="2162175"/>
          <a:ext cx="6105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a:t>
          </a:r>
          <a:r>
            <a:rPr lang="en-US" sz="1100" baseline="0"/>
            <a:t> use this page to quickly find the U-Values of assemblies and fenstrations based on the zone I am working in. I also use it as a record of which values I choose by highlighting the numbers I end up using. </a:t>
          </a:r>
          <a:r>
            <a:rPr lang="en-US" sz="1100" baseline="0">
              <a:solidFill>
                <a:schemeClr val="dk1"/>
              </a:solidFill>
              <a:effectLst/>
              <a:latin typeface="+mn-lt"/>
              <a:ea typeface="+mn-ea"/>
              <a:cs typeface="+mn-cs"/>
            </a:rPr>
            <a:t>This information comes from California Energy Code 2022 Subchapter 5.</a:t>
          </a:r>
        </a:p>
      </xdr:txBody>
    </xdr:sp>
    <xdr:clientData/>
  </xdr:twoCellAnchor>
  <xdr:twoCellAnchor>
    <xdr:from>
      <xdr:col>7</xdr:col>
      <xdr:colOff>200025</xdr:colOff>
      <xdr:row>2</xdr:row>
      <xdr:rowOff>123826</xdr:rowOff>
    </xdr:from>
    <xdr:to>
      <xdr:col>11</xdr:col>
      <xdr:colOff>1343025</xdr:colOff>
      <xdr:row>5</xdr:row>
      <xdr:rowOff>228601</xdr:rowOff>
    </xdr:to>
    <xdr:sp macro="" textlink="">
      <xdr:nvSpPr>
        <xdr:cNvPr id="4" name="TextBox 3">
          <a:extLst>
            <a:ext uri="{FF2B5EF4-FFF2-40B4-BE49-F238E27FC236}">
              <a16:creationId xmlns:a16="http://schemas.microsoft.com/office/drawing/2014/main" id="{C6515AC4-7A8E-CA47-2F11-F3E0EA8E69C3}"/>
            </a:ext>
          </a:extLst>
        </xdr:cNvPr>
        <xdr:cNvSpPr txBox="1"/>
      </xdr:nvSpPr>
      <xdr:spPr>
        <a:xfrm>
          <a:off x="5086350" y="504826"/>
          <a:ext cx="603885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Disclaimer</a:t>
          </a:r>
        </a:p>
        <a:p>
          <a:r>
            <a:rPr lang="en-US" sz="1200" b="1"/>
            <a:t>Important: Verify all information with California Title 24 code and official guidelines.</a:t>
          </a:r>
          <a:r>
            <a:rPr lang="en-US" sz="1200" b="1" baseline="0"/>
            <a:t> This tool is a personal resource and not endorsed by the CEC or EnergyPro. Use at your own risk.</a:t>
          </a:r>
          <a:endParaRPr lang="en-US" sz="12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200024</xdr:colOff>
      <xdr:row>6</xdr:row>
      <xdr:rowOff>28575</xdr:rowOff>
    </xdr:from>
    <xdr:to>
      <xdr:col>11</xdr:col>
      <xdr:colOff>466725</xdr:colOff>
      <xdr:row>10</xdr:row>
      <xdr:rowOff>38101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34024" y="1514475"/>
          <a:ext cx="5067301" cy="771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aseline="0">
              <a:solidFill>
                <a:schemeClr val="dk1"/>
              </a:solidFill>
              <a:latin typeface="+mn-lt"/>
              <a:ea typeface="+mn-ea"/>
              <a:cs typeface="+mn-cs"/>
            </a:rPr>
            <a:t>PRESCRIPTIVE ENVELOPE CRITERIA FOR GUESTROOMS OF HOTEL/MOTEL BUILDINGS</a:t>
          </a:r>
        </a:p>
      </xdr:txBody>
    </xdr:sp>
    <xdr:clientData/>
  </xdr:twoCellAnchor>
  <mc:AlternateContent xmlns:mc="http://schemas.openxmlformats.org/markup-compatibility/2006">
    <mc:Choice xmlns:a14="http://schemas.microsoft.com/office/drawing/2010/main" Requires="a14">
      <xdr:twoCellAnchor>
        <xdr:from>
          <xdr:col>3</xdr:col>
          <xdr:colOff>419100</xdr:colOff>
          <xdr:row>0</xdr:row>
          <xdr:rowOff>123825</xdr:rowOff>
        </xdr:from>
        <xdr:to>
          <xdr:col>4</xdr:col>
          <xdr:colOff>447675</xdr:colOff>
          <xdr:row>2</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Clear Fill</a:t>
              </a:r>
            </a:p>
          </xdr:txBody>
        </xdr:sp>
        <xdr:clientData fPrintsWithSheet="0"/>
      </xdr:twoCellAnchor>
    </mc:Choice>
    <mc:Fallback/>
  </mc:AlternateContent>
  <xdr:twoCellAnchor>
    <xdr:from>
      <xdr:col>7</xdr:col>
      <xdr:colOff>180975</xdr:colOff>
      <xdr:row>10</xdr:row>
      <xdr:rowOff>85725</xdr:rowOff>
    </xdr:from>
    <xdr:to>
      <xdr:col>12</xdr:col>
      <xdr:colOff>57150</xdr:colOff>
      <xdr:row>13</xdr:row>
      <xdr:rowOff>76200</xdr:rowOff>
    </xdr:to>
    <xdr:sp macro="" textlink="">
      <xdr:nvSpPr>
        <xdr:cNvPr id="3" name="TextBox 2">
          <a:extLst>
            <a:ext uri="{FF2B5EF4-FFF2-40B4-BE49-F238E27FC236}">
              <a16:creationId xmlns:a16="http://schemas.microsoft.com/office/drawing/2014/main" id="{D2DCA7F5-5396-46AF-AB9F-81275B7672BC}"/>
            </a:ext>
          </a:extLst>
        </xdr:cNvPr>
        <xdr:cNvSpPr txBox="1"/>
      </xdr:nvSpPr>
      <xdr:spPr>
        <a:xfrm>
          <a:off x="5514975" y="2333625"/>
          <a:ext cx="6105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a:t>
          </a:r>
          <a:r>
            <a:rPr lang="en-US" sz="1100" baseline="0"/>
            <a:t> use this page to quickly find the U-Values of assemblies and fenstrations based on the zone I am working in. I also use it as a record of which values I choose by highlighting the numbers I end up using. </a:t>
          </a:r>
          <a:r>
            <a:rPr lang="en-US" sz="1100" baseline="0">
              <a:solidFill>
                <a:schemeClr val="dk1"/>
              </a:solidFill>
              <a:effectLst/>
              <a:latin typeface="+mn-lt"/>
              <a:ea typeface="+mn-ea"/>
              <a:cs typeface="+mn-cs"/>
            </a:rPr>
            <a:t>This information comes from California Energy Code 2022 Subchapter 5.</a:t>
          </a:r>
          <a:endParaRPr lang="en-US" sz="1100"/>
        </a:p>
      </xdr:txBody>
    </xdr:sp>
    <xdr:clientData/>
  </xdr:twoCellAnchor>
  <xdr:twoCellAnchor>
    <xdr:from>
      <xdr:col>7</xdr:col>
      <xdr:colOff>200025</xdr:colOff>
      <xdr:row>3</xdr:row>
      <xdr:rowOff>180975</xdr:rowOff>
    </xdr:from>
    <xdr:to>
      <xdr:col>12</xdr:col>
      <xdr:colOff>9525</xdr:colOff>
      <xdr:row>5</xdr:row>
      <xdr:rowOff>476250</xdr:rowOff>
    </xdr:to>
    <xdr:sp macro="" textlink="">
      <xdr:nvSpPr>
        <xdr:cNvPr id="4" name="TextBox 3">
          <a:extLst>
            <a:ext uri="{FF2B5EF4-FFF2-40B4-BE49-F238E27FC236}">
              <a16:creationId xmlns:a16="http://schemas.microsoft.com/office/drawing/2014/main" id="{3A29C89E-DC1D-432B-96FC-28C03D4F1B03}"/>
            </a:ext>
          </a:extLst>
        </xdr:cNvPr>
        <xdr:cNvSpPr txBox="1"/>
      </xdr:nvSpPr>
      <xdr:spPr>
        <a:xfrm>
          <a:off x="5534025" y="752475"/>
          <a:ext cx="603885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Disclaimer</a:t>
          </a:r>
        </a:p>
        <a:p>
          <a:r>
            <a:rPr lang="en-US" sz="1200" b="1"/>
            <a:t>Important: Verify all information with California Title 24 code and official guidelines.</a:t>
          </a:r>
          <a:r>
            <a:rPr lang="en-US" sz="1200" b="1" baseline="0"/>
            <a:t> This tool is a personal resource and not endorsed by the CEC or EnergyPro. Use at your own risk.</a:t>
          </a:r>
          <a:endParaRPr lang="en-US" sz="12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57150</xdr:colOff>
      <xdr:row>8</xdr:row>
      <xdr:rowOff>114300</xdr:rowOff>
    </xdr:from>
    <xdr:to>
      <xdr:col>11</xdr:col>
      <xdr:colOff>561975</xdr:colOff>
      <xdr:row>10</xdr:row>
      <xdr:rowOff>114300</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flipV="1">
          <a:off x="7096125" y="762000"/>
          <a:ext cx="504825" cy="38100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352425</xdr:colOff>
      <xdr:row>7</xdr:row>
      <xdr:rowOff>114300</xdr:rowOff>
    </xdr:from>
    <xdr:to>
      <xdr:col>23</xdr:col>
      <xdr:colOff>561975</xdr:colOff>
      <xdr:row>9</xdr:row>
      <xdr:rowOff>180975</xdr:rowOff>
    </xdr:to>
    <xdr:sp macro="" textlink="">
      <xdr:nvSpPr>
        <xdr:cNvPr id="2" name="TextBox 1">
          <a:extLst>
            <a:ext uri="{FF2B5EF4-FFF2-40B4-BE49-F238E27FC236}">
              <a16:creationId xmlns:a16="http://schemas.microsoft.com/office/drawing/2014/main" id="{288D494E-5A60-9EA0-1EA1-ED5649D84252}"/>
            </a:ext>
          </a:extLst>
        </xdr:cNvPr>
        <xdr:cNvSpPr txBox="1"/>
      </xdr:nvSpPr>
      <xdr:spPr>
        <a:xfrm>
          <a:off x="9220200" y="1600200"/>
          <a:ext cx="5695950"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 use this page to calculate required</a:t>
          </a:r>
          <a:r>
            <a:rPr lang="en-US" sz="1100" baseline="0"/>
            <a:t> solar capacity in kW and battery PV battery capacity in kW. This information comes from California Energy Code 2022 Subchapter 5.</a:t>
          </a:r>
          <a:endParaRPr lang="en-US" sz="1100"/>
        </a:p>
      </xdr:txBody>
    </xdr:sp>
    <xdr:clientData/>
  </xdr:twoCellAnchor>
  <xdr:twoCellAnchor>
    <xdr:from>
      <xdr:col>14</xdr:col>
      <xdr:colOff>352425</xdr:colOff>
      <xdr:row>3</xdr:row>
      <xdr:rowOff>152400</xdr:rowOff>
    </xdr:from>
    <xdr:to>
      <xdr:col>24</xdr:col>
      <xdr:colOff>295275</xdr:colOff>
      <xdr:row>7</xdr:row>
      <xdr:rowOff>38100</xdr:rowOff>
    </xdr:to>
    <xdr:sp macro="" textlink="">
      <xdr:nvSpPr>
        <xdr:cNvPr id="3" name="TextBox 2">
          <a:extLst>
            <a:ext uri="{FF2B5EF4-FFF2-40B4-BE49-F238E27FC236}">
              <a16:creationId xmlns:a16="http://schemas.microsoft.com/office/drawing/2014/main" id="{9D3A0D3B-E549-4751-8292-59B8C7BBBA85}"/>
            </a:ext>
          </a:extLst>
        </xdr:cNvPr>
        <xdr:cNvSpPr txBox="1"/>
      </xdr:nvSpPr>
      <xdr:spPr>
        <a:xfrm>
          <a:off x="9220200" y="800100"/>
          <a:ext cx="603885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Disclaimer</a:t>
          </a:r>
        </a:p>
        <a:p>
          <a:r>
            <a:rPr lang="en-US" sz="1200" b="1"/>
            <a:t>Important: Verify all information with California Title 24 code and official guidelines.</a:t>
          </a:r>
          <a:r>
            <a:rPr lang="en-US" sz="1200" b="1" baseline="0"/>
            <a:t> This tool is a personal resource and not endorsed by the CEC or EnergyPro. Use at your own risk.</a:t>
          </a:r>
          <a:endParaRPr lang="en-US" sz="12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276226</xdr:colOff>
      <xdr:row>2</xdr:row>
      <xdr:rowOff>0</xdr:rowOff>
    </xdr:from>
    <xdr:to>
      <xdr:col>8</xdr:col>
      <xdr:colOff>466726</xdr:colOff>
      <xdr:row>7</xdr:row>
      <xdr:rowOff>47625</xdr:rowOff>
    </xdr:to>
    <xdr:sp macro="" textlink="">
      <xdr:nvSpPr>
        <xdr:cNvPr id="8" name="TextBox 7">
          <a:extLst>
            <a:ext uri="{FF2B5EF4-FFF2-40B4-BE49-F238E27FC236}">
              <a16:creationId xmlns:a16="http://schemas.microsoft.com/office/drawing/2014/main" id="{C58E092C-EEE4-9E22-E080-493E094C4949}"/>
            </a:ext>
          </a:extLst>
        </xdr:cNvPr>
        <xdr:cNvSpPr txBox="1"/>
      </xdr:nvSpPr>
      <xdr:spPr>
        <a:xfrm>
          <a:off x="3352801" y="381000"/>
          <a:ext cx="4152900" cy="1000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mn-lt"/>
            </a:rPr>
            <a:t>This page provides a checklist of frequently overlooked elements for developing an energy compliance model in EnergyPro. Feel free to customize it to suit your needs.</a:t>
          </a:r>
        </a:p>
        <a:p>
          <a:endParaRPr lang="en-US" sz="1100">
            <a:latin typeface="+mn-lt"/>
          </a:endParaRPr>
        </a:p>
        <a:p>
          <a:r>
            <a:rPr lang="en-US" sz="1100">
              <a:latin typeface="+mn-lt"/>
            </a:rPr>
            <a:t>This list is unfinished.</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26F436-D745-4040-B378-B1EBC7CAEDA0}" name="Tbl_Code" displayName="Tbl_Code" ref="G2:W35" totalsRowShown="0" headerRowDxfId="43" dataDxfId="41" headerRowBorderDxfId="42" tableBorderDxfId="40" totalsRowBorderDxfId="39">
  <autoFilter ref="G2:W35" xr:uid="{6B159015-E679-45FE-B8AA-31F9EE07F6C8}"/>
  <tableColumns count="17">
    <tableColumn id="35" xr3:uid="{F47AAB68-7CC8-4133-BAEA-5318E0F5C8DF}" name="Index" dataDxfId="38"/>
    <tableColumn id="1" xr3:uid="{1B31C962-E79A-4F91-B28D-B95E4F0659C9}" name="1" dataDxfId="37"/>
    <tableColumn id="2" xr3:uid="{05EA89EA-7B89-49D0-86B2-54A66C58B056}" name="2" dataDxfId="36"/>
    <tableColumn id="3" xr3:uid="{900CF887-E9F6-40FC-8AC4-1FB065ABBA7A}" name="3" dataDxfId="35"/>
    <tableColumn id="4" xr3:uid="{24987C64-21F2-48B5-B2FA-45F184B78DFA}" name="4" dataDxfId="34"/>
    <tableColumn id="5" xr3:uid="{31DC9398-41BC-4C36-B710-71C3427303BA}" name="5" dataDxfId="33"/>
    <tableColumn id="6" xr3:uid="{1902F3E9-B10D-431B-82C0-727ED3117398}" name="6" dataDxfId="32"/>
    <tableColumn id="7" xr3:uid="{22B75E21-AAC7-4E0F-A80E-9515A50AEA0C}" name="7" dataDxfId="31"/>
    <tableColumn id="8" xr3:uid="{EECAF722-6A9F-4445-9533-10130A0294F9}" name="8" dataDxfId="30"/>
    <tableColumn id="9" xr3:uid="{7BD9742D-9947-462E-97BC-C0D1D015C8EC}" name="9" dataDxfId="29"/>
    <tableColumn id="10" xr3:uid="{D48833F9-BD6F-4033-9BCC-F286B95BD203}" name="10" dataDxfId="28"/>
    <tableColumn id="11" xr3:uid="{12FCC860-98C6-4EAB-99E7-0072D9D73563}" name="11" dataDxfId="27"/>
    <tableColumn id="12" xr3:uid="{1B391E8C-8766-414D-BD6B-61EDDB82AB5D}" name="12" dataDxfId="26"/>
    <tableColumn id="13" xr3:uid="{EC3B6683-E626-482A-B4C1-3884D07FF6A5}" name="13" dataDxfId="25"/>
    <tableColumn id="14" xr3:uid="{1EACB8C2-E86D-4D11-89E7-74A1AD81C336}" name="14" dataDxfId="24"/>
    <tableColumn id="15" xr3:uid="{5CCC1229-C70F-4CCC-94F9-496EA5585684}" name="15" dataDxfId="23"/>
    <tableColumn id="16" xr3:uid="{A9EA5EA4-9E7F-426A-87A7-EFFF831B04B6}" name="16" dataDxfId="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80B9B9-220B-4CCD-9F53-B6CE539BC86A}" name="Tbl_Code3" displayName="Tbl_Code3" ref="G2:W35" totalsRowShown="0" headerRowDxfId="21" dataDxfId="19" headerRowBorderDxfId="20" tableBorderDxfId="18" totalsRowBorderDxfId="17">
  <autoFilter ref="G2:W35" xr:uid="{6B159015-E679-45FE-B8AA-31F9EE07F6C8}"/>
  <tableColumns count="17">
    <tableColumn id="35" xr3:uid="{F47AAB68-7CC8-4133-BAEA-5318E0F5C8DF}" name="Index" dataDxfId="16"/>
    <tableColumn id="1" xr3:uid="{1B31C962-E79A-4F91-B28D-B95E4F0659C9}" name="1" dataDxfId="15"/>
    <tableColumn id="2" xr3:uid="{05EA89EA-7B89-49D0-86B2-54A66C58B056}" name="2" dataDxfId="14"/>
    <tableColumn id="3" xr3:uid="{900CF887-E9F6-40FC-8AC4-1FB065ABBA7A}" name="3" dataDxfId="13"/>
    <tableColumn id="4" xr3:uid="{24987C64-21F2-48B5-B2FA-45F184B78DFA}" name="4" dataDxfId="12"/>
    <tableColumn id="5" xr3:uid="{31DC9398-41BC-4C36-B710-71C3427303BA}" name="5" dataDxfId="11"/>
    <tableColumn id="6" xr3:uid="{1902F3E9-B10D-431B-82C0-727ED3117398}" name="6" dataDxfId="10"/>
    <tableColumn id="7" xr3:uid="{22B75E21-AAC7-4E0F-A80E-9515A50AEA0C}" name="7" dataDxfId="9"/>
    <tableColumn id="8" xr3:uid="{EECAF722-6A9F-4445-9533-10130A0294F9}" name="8" dataDxfId="8"/>
    <tableColumn id="9" xr3:uid="{7BD9742D-9947-462E-97BC-C0D1D015C8EC}" name="9" dataDxfId="7"/>
    <tableColumn id="10" xr3:uid="{D48833F9-BD6F-4033-9BCC-F286B95BD203}" name="10" dataDxfId="6"/>
    <tableColumn id="11" xr3:uid="{12FCC860-98C6-4EAB-99E7-0072D9D73563}" name="11" dataDxfId="5"/>
    <tableColumn id="12" xr3:uid="{1B391E8C-8766-414D-BD6B-61EDDB82AB5D}" name="12" dataDxfId="4"/>
    <tableColumn id="13" xr3:uid="{EC3B6683-E626-482A-B4C1-3884D07FF6A5}" name="13" dataDxfId="3"/>
    <tableColumn id="14" xr3:uid="{1EACB8C2-E86D-4D11-89E7-74A1AD81C336}" name="14" dataDxfId="2"/>
    <tableColumn id="15" xr3:uid="{5CCC1229-C70F-4CCC-94F9-496EA5585684}" name="15" dataDxfId="1"/>
    <tableColumn id="16" xr3:uid="{A9EA5EA4-9E7F-426A-87A7-EFFF831B04B6}" name="1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C1A8E-1B47-4024-8155-5188F13F0772}">
  <dimension ref="A1"/>
  <sheetViews>
    <sheetView workbookViewId="0">
      <selection activeCell="Q15" sqref="Q15"/>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CE3-1FBD-4685-9322-1D8D1A9FF45D}">
  <sheetPr codeName="Sheet5"/>
  <dimension ref="A1:N25"/>
  <sheetViews>
    <sheetView tabSelected="1" zoomScaleNormal="100" workbookViewId="0">
      <selection activeCell="E7" sqref="E7"/>
    </sheetView>
  </sheetViews>
  <sheetFormatPr defaultRowHeight="15" x14ac:dyDescent="0.25"/>
  <cols>
    <col min="1" max="1" width="12.5703125" customWidth="1"/>
    <col min="2" max="2" width="10" customWidth="1"/>
    <col min="7" max="7" width="9.42578125" customWidth="1"/>
    <col min="8" max="8" width="11.28515625" customWidth="1"/>
  </cols>
  <sheetData>
    <row r="1" spans="1:13" ht="21" x14ac:dyDescent="0.35">
      <c r="A1" s="99" t="s">
        <v>6</v>
      </c>
      <c r="B1" s="99"/>
      <c r="C1" s="99"/>
      <c r="D1" s="99"/>
      <c r="E1" s="99"/>
    </row>
    <row r="2" spans="1:13" x14ac:dyDescent="0.25">
      <c r="A2" s="2" t="s">
        <v>2</v>
      </c>
      <c r="B2" s="101" t="s">
        <v>24</v>
      </c>
      <c r="C2" s="101"/>
    </row>
    <row r="3" spans="1:13" x14ac:dyDescent="0.25">
      <c r="A3" s="2" t="s">
        <v>3</v>
      </c>
      <c r="B3" s="101" t="s">
        <v>25</v>
      </c>
      <c r="C3" s="101"/>
    </row>
    <row r="4" spans="1:13" x14ac:dyDescent="0.25">
      <c r="A4" s="2" t="s">
        <v>4</v>
      </c>
      <c r="B4" s="101" t="s">
        <v>148</v>
      </c>
      <c r="C4" s="101"/>
    </row>
    <row r="5" spans="1:13" x14ac:dyDescent="0.25">
      <c r="A5" s="2" t="s">
        <v>5</v>
      </c>
      <c r="B5" s="101" t="s">
        <v>26</v>
      </c>
      <c r="C5" s="101"/>
    </row>
    <row r="6" spans="1:13" x14ac:dyDescent="0.25">
      <c r="A6" s="5"/>
      <c r="B6" s="2" t="s">
        <v>21</v>
      </c>
      <c r="G6" s="1"/>
      <c r="H6" s="3"/>
      <c r="I6" s="4" t="s">
        <v>15</v>
      </c>
      <c r="J6" s="4" t="s">
        <v>16</v>
      </c>
      <c r="K6" s="4" t="s">
        <v>17</v>
      </c>
      <c r="L6" s="4" t="s">
        <v>18</v>
      </c>
      <c r="M6" s="3"/>
    </row>
    <row r="7" spans="1:13" x14ac:dyDescent="0.25">
      <c r="A7" s="7"/>
      <c r="B7" s="2" t="s">
        <v>22</v>
      </c>
      <c r="G7" s="1"/>
      <c r="I7" s="8"/>
      <c r="J7" s="9"/>
      <c r="K7" s="9"/>
      <c r="L7" s="9"/>
    </row>
    <row r="8" spans="1:13" x14ac:dyDescent="0.25">
      <c r="G8" s="4" t="s">
        <v>23</v>
      </c>
      <c r="H8" s="4" t="s">
        <v>0</v>
      </c>
      <c r="I8" s="8"/>
      <c r="J8" s="9"/>
      <c r="K8" s="9"/>
      <c r="L8" s="9"/>
    </row>
    <row r="9" spans="1:13" x14ac:dyDescent="0.25">
      <c r="A9" s="100" t="s">
        <v>14</v>
      </c>
      <c r="B9" s="100"/>
      <c r="C9" s="3"/>
      <c r="G9" s="9" t="s">
        <v>7</v>
      </c>
      <c r="H9" s="11">
        <f>IF(G9="Level 1",B10,IF(G9="Level 2",B11,IF(G9="Level 3",B12,IF(G9="Level 4",B13,"Not Valid"))))</f>
        <v>0</v>
      </c>
      <c r="I9" s="8"/>
      <c r="J9" s="9"/>
      <c r="K9" s="9"/>
      <c r="L9" s="9"/>
    </row>
    <row r="10" spans="1:13" x14ac:dyDescent="0.25">
      <c r="A10" s="9" t="s">
        <v>7</v>
      </c>
      <c r="B10" s="9"/>
      <c r="I10" s="8"/>
      <c r="J10" s="9"/>
      <c r="K10" s="9"/>
      <c r="L10" s="9"/>
    </row>
    <row r="11" spans="1:13" x14ac:dyDescent="0.25">
      <c r="A11" s="9" t="s">
        <v>8</v>
      </c>
      <c r="B11" s="9"/>
      <c r="I11" s="8"/>
      <c r="J11" s="9"/>
      <c r="K11" s="9"/>
      <c r="L11" s="9"/>
    </row>
    <row r="12" spans="1:13" x14ac:dyDescent="0.25">
      <c r="A12" s="9" t="s">
        <v>9</v>
      </c>
      <c r="B12" s="9"/>
      <c r="I12" s="8"/>
      <c r="J12" s="9"/>
      <c r="K12" s="9"/>
      <c r="L12" s="9"/>
    </row>
    <row r="13" spans="1:13" x14ac:dyDescent="0.25">
      <c r="A13" s="9" t="s">
        <v>10</v>
      </c>
      <c r="B13" s="9"/>
      <c r="I13" s="8"/>
      <c r="J13" s="9"/>
      <c r="K13" s="9"/>
      <c r="L13" s="9"/>
    </row>
    <row r="14" spans="1:13" x14ac:dyDescent="0.25">
      <c r="I14" s="8"/>
      <c r="J14" s="9"/>
      <c r="K14" s="9"/>
      <c r="L14" s="9"/>
    </row>
    <row r="15" spans="1:13" x14ac:dyDescent="0.25">
      <c r="A15" s="3" t="s">
        <v>12</v>
      </c>
      <c r="I15" s="8"/>
      <c r="J15" s="9"/>
      <c r="K15" s="9"/>
      <c r="L15" s="9"/>
    </row>
    <row r="16" spans="1:13" x14ac:dyDescent="0.25">
      <c r="A16" s="9" t="s">
        <v>11</v>
      </c>
      <c r="B16" s="9"/>
      <c r="I16" s="8"/>
      <c r="J16" s="9"/>
      <c r="K16" s="9"/>
      <c r="L16" s="9"/>
    </row>
    <row r="17" spans="1:14" x14ac:dyDescent="0.25">
      <c r="A17" s="9"/>
      <c r="B17" s="9"/>
      <c r="I17" s="8"/>
      <c r="J17" s="9"/>
      <c r="K17" s="9"/>
      <c r="L17" s="9"/>
    </row>
    <row r="18" spans="1:14" x14ac:dyDescent="0.25">
      <c r="A18" s="9"/>
      <c r="B18" s="9"/>
      <c r="I18" s="8"/>
      <c r="J18" s="9"/>
      <c r="K18" s="9"/>
      <c r="L18" s="9"/>
    </row>
    <row r="19" spans="1:14" x14ac:dyDescent="0.25">
      <c r="A19" s="9"/>
      <c r="B19" s="9"/>
      <c r="H19" s="6" t="s">
        <v>1</v>
      </c>
      <c r="I19" s="11">
        <f>I20*$H$9</f>
        <v>0</v>
      </c>
      <c r="J19" s="11">
        <f>J20*$H$9</f>
        <v>0</v>
      </c>
      <c r="K19" s="11">
        <f>K20*$H$9</f>
        <v>0</v>
      </c>
      <c r="L19" s="11">
        <f>L20*$H$9</f>
        <v>0</v>
      </c>
    </row>
    <row r="20" spans="1:14" x14ac:dyDescent="0.25">
      <c r="H20" s="13" t="s">
        <v>19</v>
      </c>
      <c r="I20" s="12">
        <f>SUM(I7:I18)</f>
        <v>0</v>
      </c>
      <c r="J20" s="12">
        <f t="shared" ref="J20:L20" si="0">SUM(J7:J18)</f>
        <v>0</v>
      </c>
      <c r="K20" s="12">
        <f t="shared" si="0"/>
        <v>0</v>
      </c>
      <c r="L20" s="12">
        <f t="shared" si="0"/>
        <v>0</v>
      </c>
      <c r="M20" s="10">
        <f>SUM(I20:L20)</f>
        <v>0</v>
      </c>
      <c r="N20" s="3" t="s">
        <v>20</v>
      </c>
    </row>
    <row r="21" spans="1:14" x14ac:dyDescent="0.25">
      <c r="A21" s="3" t="s">
        <v>13</v>
      </c>
      <c r="I21" s="4" t="s">
        <v>15</v>
      </c>
      <c r="J21" s="4" t="s">
        <v>16</v>
      </c>
      <c r="K21" s="4" t="s">
        <v>17</v>
      </c>
      <c r="L21" s="4" t="s">
        <v>18</v>
      </c>
      <c r="M21" s="3"/>
    </row>
    <row r="22" spans="1:14" x14ac:dyDescent="0.25">
      <c r="A22" s="9" t="s">
        <v>11</v>
      </c>
      <c r="B22" s="9"/>
    </row>
    <row r="23" spans="1:14" x14ac:dyDescent="0.25">
      <c r="A23" s="9" t="s">
        <v>27</v>
      </c>
      <c r="B23" s="9"/>
    </row>
    <row r="24" spans="1:14" x14ac:dyDescent="0.25">
      <c r="A24" s="9" t="s">
        <v>28</v>
      </c>
      <c r="B24" s="9"/>
    </row>
    <row r="25" spans="1:14" x14ac:dyDescent="0.25">
      <c r="A25" s="9" t="s">
        <v>29</v>
      </c>
      <c r="B25" s="9"/>
    </row>
  </sheetData>
  <mergeCells count="6">
    <mergeCell ref="A1:E1"/>
    <mergeCell ref="A9:B9"/>
    <mergeCell ref="B2:C2"/>
    <mergeCell ref="B3:C3"/>
    <mergeCell ref="B4:C4"/>
    <mergeCell ref="B5:C5"/>
  </mergeCells>
  <phoneticPr fontId="3" type="noConversion"/>
  <dataValidations disablePrompts="1" count="1">
    <dataValidation type="list" allowBlank="1" showInputMessage="1" showErrorMessage="1" sqref="G9" xr:uid="{D761736B-5927-4720-9F27-76B641EFB1BC}">
      <formula1>$A$10:$A$13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learCalc">
                <anchor moveWithCells="1" sizeWithCells="1">
                  <from>
                    <xdr:col>6</xdr:col>
                    <xdr:colOff>219075</xdr:colOff>
                    <xdr:row>9</xdr:row>
                    <xdr:rowOff>114300</xdr:rowOff>
                  </from>
                  <to>
                    <xdr:col>7</xdr:col>
                    <xdr:colOff>285750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B16D0-4675-4D07-8F45-F71935C653DF}">
  <sheetPr codeName="Sheet6"/>
  <dimension ref="A1:F2699"/>
  <sheetViews>
    <sheetView workbookViewId="0">
      <selection activeCell="G32" sqref="G32"/>
    </sheetView>
  </sheetViews>
  <sheetFormatPr defaultRowHeight="15" x14ac:dyDescent="0.25"/>
  <cols>
    <col min="1" max="1" width="10.140625" style="16" customWidth="1"/>
    <col min="2" max="2" width="11.28515625" style="16" customWidth="1"/>
    <col min="4" max="4" width="11" customWidth="1"/>
    <col min="5" max="5" width="13.140625" customWidth="1"/>
    <col min="7" max="7" width="13.5703125" customWidth="1"/>
  </cols>
  <sheetData>
    <row r="1" spans="1:6" ht="21" x14ac:dyDescent="0.35">
      <c r="A1" s="99" t="s">
        <v>35</v>
      </c>
      <c r="B1" s="99"/>
      <c r="C1" s="99"/>
      <c r="D1" s="99"/>
      <c r="E1" s="99"/>
    </row>
    <row r="2" spans="1:6" x14ac:dyDescent="0.25">
      <c r="A2" s="8"/>
      <c r="B2" s="17" t="s">
        <v>21</v>
      </c>
    </row>
    <row r="3" spans="1:6" x14ac:dyDescent="0.25">
      <c r="A3" s="10"/>
      <c r="B3" s="17" t="s">
        <v>22</v>
      </c>
    </row>
    <row r="4" spans="1:6" x14ac:dyDescent="0.25">
      <c r="A4"/>
      <c r="B4"/>
    </row>
    <row r="5" spans="1:6" x14ac:dyDescent="0.25">
      <c r="A5" s="17" t="s">
        <v>32</v>
      </c>
      <c r="B5" s="17" t="s">
        <v>33</v>
      </c>
    </row>
    <row r="6" spans="1:6" x14ac:dyDescent="0.25">
      <c r="A6" s="18">
        <v>90001</v>
      </c>
      <c r="B6" s="19">
        <v>8</v>
      </c>
      <c r="D6" s="17" t="s">
        <v>32</v>
      </c>
      <c r="E6" s="17" t="s">
        <v>34</v>
      </c>
    </row>
    <row r="7" spans="1:6" x14ac:dyDescent="0.25">
      <c r="A7" s="20">
        <v>90002</v>
      </c>
      <c r="B7" s="21">
        <v>8</v>
      </c>
      <c r="D7" s="8">
        <v>90001</v>
      </c>
      <c r="E7" s="10">
        <f>LOOKUP(D7,A:A,B:B)</f>
        <v>8</v>
      </c>
    </row>
    <row r="8" spans="1:6" x14ac:dyDescent="0.25">
      <c r="A8" s="20">
        <v>90003</v>
      </c>
      <c r="B8" s="21">
        <v>8</v>
      </c>
      <c r="F8" s="15"/>
    </row>
    <row r="9" spans="1:6" x14ac:dyDescent="0.25">
      <c r="A9" s="20">
        <v>90004</v>
      </c>
      <c r="B9" s="21">
        <v>9</v>
      </c>
    </row>
    <row r="10" spans="1:6" x14ac:dyDescent="0.25">
      <c r="A10" s="20">
        <v>90005</v>
      </c>
      <c r="B10" s="21">
        <v>9</v>
      </c>
    </row>
    <row r="11" spans="1:6" x14ac:dyDescent="0.25">
      <c r="A11" s="20">
        <v>90006</v>
      </c>
      <c r="B11" s="21">
        <v>9</v>
      </c>
    </row>
    <row r="12" spans="1:6" x14ac:dyDescent="0.25">
      <c r="A12" s="20">
        <v>90007</v>
      </c>
      <c r="B12" s="21">
        <v>8</v>
      </c>
    </row>
    <row r="13" spans="1:6" x14ac:dyDescent="0.25">
      <c r="A13" s="20">
        <v>90008</v>
      </c>
      <c r="B13" s="21">
        <v>8</v>
      </c>
    </row>
    <row r="14" spans="1:6" x14ac:dyDescent="0.25">
      <c r="A14" s="20">
        <v>90009</v>
      </c>
      <c r="B14" s="21">
        <v>6</v>
      </c>
    </row>
    <row r="15" spans="1:6" x14ac:dyDescent="0.25">
      <c r="A15" s="20">
        <v>90010</v>
      </c>
      <c r="B15" s="21">
        <v>9</v>
      </c>
    </row>
    <row r="16" spans="1:6" x14ac:dyDescent="0.25">
      <c r="A16" s="20">
        <v>90011</v>
      </c>
      <c r="B16" s="21">
        <v>8</v>
      </c>
    </row>
    <row r="17" spans="1:2" x14ac:dyDescent="0.25">
      <c r="A17" s="20">
        <v>90012</v>
      </c>
      <c r="B17" s="21">
        <v>9</v>
      </c>
    </row>
    <row r="18" spans="1:2" x14ac:dyDescent="0.25">
      <c r="A18" s="20">
        <v>90013</v>
      </c>
      <c r="B18" s="21">
        <v>9</v>
      </c>
    </row>
    <row r="19" spans="1:2" x14ac:dyDescent="0.25">
      <c r="A19" s="20">
        <v>90014</v>
      </c>
      <c r="B19" s="21">
        <v>9</v>
      </c>
    </row>
    <row r="20" spans="1:2" x14ac:dyDescent="0.25">
      <c r="A20" s="20">
        <v>90015</v>
      </c>
      <c r="B20" s="21">
        <v>9</v>
      </c>
    </row>
    <row r="21" spans="1:2" x14ac:dyDescent="0.25">
      <c r="A21" s="20">
        <v>90016</v>
      </c>
      <c r="B21" s="21">
        <v>8</v>
      </c>
    </row>
    <row r="22" spans="1:2" x14ac:dyDescent="0.25">
      <c r="A22" s="20">
        <v>90017</v>
      </c>
      <c r="B22" s="21">
        <v>9</v>
      </c>
    </row>
    <row r="23" spans="1:2" x14ac:dyDescent="0.25">
      <c r="A23" s="20">
        <v>90018</v>
      </c>
      <c r="B23" s="21">
        <v>8</v>
      </c>
    </row>
    <row r="24" spans="1:2" x14ac:dyDescent="0.25">
      <c r="A24" s="20">
        <v>90019</v>
      </c>
      <c r="B24" s="21">
        <v>9</v>
      </c>
    </row>
    <row r="25" spans="1:2" x14ac:dyDescent="0.25">
      <c r="A25" s="20">
        <v>90020</v>
      </c>
      <c r="B25" s="21">
        <v>9</v>
      </c>
    </row>
    <row r="26" spans="1:2" x14ac:dyDescent="0.25">
      <c r="A26" s="20">
        <v>90021</v>
      </c>
      <c r="B26" s="21">
        <v>9</v>
      </c>
    </row>
    <row r="27" spans="1:2" x14ac:dyDescent="0.25">
      <c r="A27" s="20">
        <v>90022</v>
      </c>
      <c r="B27" s="21">
        <v>9</v>
      </c>
    </row>
    <row r="28" spans="1:2" x14ac:dyDescent="0.25">
      <c r="A28" s="20">
        <v>90023</v>
      </c>
      <c r="B28" s="21">
        <v>9</v>
      </c>
    </row>
    <row r="29" spans="1:2" x14ac:dyDescent="0.25">
      <c r="A29" s="20">
        <v>90024</v>
      </c>
      <c r="B29" s="21">
        <v>9</v>
      </c>
    </row>
    <row r="30" spans="1:2" x14ac:dyDescent="0.25">
      <c r="A30" s="20">
        <v>90025</v>
      </c>
      <c r="B30" s="21">
        <v>6</v>
      </c>
    </row>
    <row r="31" spans="1:2" x14ac:dyDescent="0.25">
      <c r="A31" s="20">
        <v>90026</v>
      </c>
      <c r="B31" s="21">
        <v>9</v>
      </c>
    </row>
    <row r="32" spans="1:2" x14ac:dyDescent="0.25">
      <c r="A32" s="20">
        <v>90027</v>
      </c>
      <c r="B32" s="21">
        <v>9</v>
      </c>
    </row>
    <row r="33" spans="1:2" x14ac:dyDescent="0.25">
      <c r="A33" s="20">
        <v>90028</v>
      </c>
      <c r="B33" s="21">
        <v>9</v>
      </c>
    </row>
    <row r="34" spans="1:2" x14ac:dyDescent="0.25">
      <c r="A34" s="20">
        <v>90029</v>
      </c>
      <c r="B34" s="21">
        <v>9</v>
      </c>
    </row>
    <row r="35" spans="1:2" x14ac:dyDescent="0.25">
      <c r="A35" s="20">
        <v>90030</v>
      </c>
      <c r="B35" s="21">
        <v>9</v>
      </c>
    </row>
    <row r="36" spans="1:2" x14ac:dyDescent="0.25">
      <c r="A36" s="20">
        <v>90031</v>
      </c>
      <c r="B36" s="21">
        <v>9</v>
      </c>
    </row>
    <row r="37" spans="1:2" x14ac:dyDescent="0.25">
      <c r="A37" s="20">
        <v>90032</v>
      </c>
      <c r="B37" s="21">
        <v>9</v>
      </c>
    </row>
    <row r="38" spans="1:2" x14ac:dyDescent="0.25">
      <c r="A38" s="20">
        <v>90033</v>
      </c>
      <c r="B38" s="21">
        <v>9</v>
      </c>
    </row>
    <row r="39" spans="1:2" x14ac:dyDescent="0.25">
      <c r="A39" s="20">
        <v>90034</v>
      </c>
      <c r="B39" s="21">
        <v>8</v>
      </c>
    </row>
    <row r="40" spans="1:2" x14ac:dyDescent="0.25">
      <c r="A40" s="20">
        <v>90035</v>
      </c>
      <c r="B40" s="21">
        <v>9</v>
      </c>
    </row>
    <row r="41" spans="1:2" x14ac:dyDescent="0.25">
      <c r="A41" s="20">
        <v>90036</v>
      </c>
      <c r="B41" s="21">
        <v>9</v>
      </c>
    </row>
    <row r="42" spans="1:2" x14ac:dyDescent="0.25">
      <c r="A42" s="20">
        <v>90037</v>
      </c>
      <c r="B42" s="21">
        <v>8</v>
      </c>
    </row>
    <row r="43" spans="1:2" x14ac:dyDescent="0.25">
      <c r="A43" s="20">
        <v>90038</v>
      </c>
      <c r="B43" s="21">
        <v>9</v>
      </c>
    </row>
    <row r="44" spans="1:2" x14ac:dyDescent="0.25">
      <c r="A44" s="20">
        <v>90039</v>
      </c>
      <c r="B44" s="21">
        <v>9</v>
      </c>
    </row>
    <row r="45" spans="1:2" x14ac:dyDescent="0.25">
      <c r="A45" s="20">
        <v>90040</v>
      </c>
      <c r="B45" s="21">
        <v>8</v>
      </c>
    </row>
    <row r="46" spans="1:2" x14ac:dyDescent="0.25">
      <c r="A46" s="20">
        <v>90041</v>
      </c>
      <c r="B46" s="21">
        <v>9</v>
      </c>
    </row>
    <row r="47" spans="1:2" x14ac:dyDescent="0.25">
      <c r="A47" s="20">
        <v>90042</v>
      </c>
      <c r="B47" s="21">
        <v>9</v>
      </c>
    </row>
    <row r="48" spans="1:2" x14ac:dyDescent="0.25">
      <c r="A48" s="20">
        <v>90043</v>
      </c>
      <c r="B48" s="21">
        <v>8</v>
      </c>
    </row>
    <row r="49" spans="1:2" x14ac:dyDescent="0.25">
      <c r="A49" s="20">
        <v>90044</v>
      </c>
      <c r="B49" s="21">
        <v>8</v>
      </c>
    </row>
    <row r="50" spans="1:2" x14ac:dyDescent="0.25">
      <c r="A50" s="20">
        <v>90045</v>
      </c>
      <c r="B50" s="21">
        <v>6</v>
      </c>
    </row>
    <row r="51" spans="1:2" x14ac:dyDescent="0.25">
      <c r="A51" s="20">
        <v>90046</v>
      </c>
      <c r="B51" s="21">
        <v>9</v>
      </c>
    </row>
    <row r="52" spans="1:2" x14ac:dyDescent="0.25">
      <c r="A52" s="20">
        <v>90047</v>
      </c>
      <c r="B52" s="21">
        <v>8</v>
      </c>
    </row>
    <row r="53" spans="1:2" x14ac:dyDescent="0.25">
      <c r="A53" s="20">
        <v>90048</v>
      </c>
      <c r="B53" s="21">
        <v>9</v>
      </c>
    </row>
    <row r="54" spans="1:2" x14ac:dyDescent="0.25">
      <c r="A54" s="20">
        <v>90049</v>
      </c>
      <c r="B54" s="21">
        <v>6</v>
      </c>
    </row>
    <row r="55" spans="1:2" x14ac:dyDescent="0.25">
      <c r="A55" s="20">
        <v>90050</v>
      </c>
      <c r="B55" s="21">
        <v>9</v>
      </c>
    </row>
    <row r="56" spans="1:2" x14ac:dyDescent="0.25">
      <c r="A56" s="20">
        <v>90051</v>
      </c>
      <c r="B56" s="21">
        <v>8</v>
      </c>
    </row>
    <row r="57" spans="1:2" x14ac:dyDescent="0.25">
      <c r="A57" s="20">
        <v>90052</v>
      </c>
      <c r="B57" s="21">
        <v>8</v>
      </c>
    </row>
    <row r="58" spans="1:2" x14ac:dyDescent="0.25">
      <c r="A58" s="20">
        <v>90053</v>
      </c>
      <c r="B58" s="21">
        <v>9</v>
      </c>
    </row>
    <row r="59" spans="1:2" x14ac:dyDescent="0.25">
      <c r="A59" s="20">
        <v>90054</v>
      </c>
      <c r="B59" s="21">
        <v>9</v>
      </c>
    </row>
    <row r="60" spans="1:2" x14ac:dyDescent="0.25">
      <c r="A60" s="20">
        <v>90055</v>
      </c>
      <c r="B60" s="21">
        <v>9</v>
      </c>
    </row>
    <row r="61" spans="1:2" x14ac:dyDescent="0.25">
      <c r="A61" s="20">
        <v>90056</v>
      </c>
      <c r="B61" s="21">
        <v>8</v>
      </c>
    </row>
    <row r="62" spans="1:2" x14ac:dyDescent="0.25">
      <c r="A62" s="20">
        <v>90057</v>
      </c>
      <c r="B62" s="21">
        <v>9</v>
      </c>
    </row>
    <row r="63" spans="1:2" x14ac:dyDescent="0.25">
      <c r="A63" s="20">
        <v>90058</v>
      </c>
      <c r="B63" s="21">
        <v>8</v>
      </c>
    </row>
    <row r="64" spans="1:2" x14ac:dyDescent="0.25">
      <c r="A64" s="20">
        <v>90059</v>
      </c>
      <c r="B64" s="21">
        <v>8</v>
      </c>
    </row>
    <row r="65" spans="1:2" x14ac:dyDescent="0.25">
      <c r="A65" s="20">
        <v>90060</v>
      </c>
      <c r="B65" s="21">
        <v>9</v>
      </c>
    </row>
    <row r="66" spans="1:2" x14ac:dyDescent="0.25">
      <c r="A66" s="20">
        <v>90061</v>
      </c>
      <c r="B66" s="21">
        <v>8</v>
      </c>
    </row>
    <row r="67" spans="1:2" x14ac:dyDescent="0.25">
      <c r="A67" s="20">
        <v>90062</v>
      </c>
      <c r="B67" s="21">
        <v>8</v>
      </c>
    </row>
    <row r="68" spans="1:2" x14ac:dyDescent="0.25">
      <c r="A68" s="20">
        <v>90063</v>
      </c>
      <c r="B68" s="21">
        <v>9</v>
      </c>
    </row>
    <row r="69" spans="1:2" x14ac:dyDescent="0.25">
      <c r="A69" s="20">
        <v>90064</v>
      </c>
      <c r="B69" s="21">
        <v>9</v>
      </c>
    </row>
    <row r="70" spans="1:2" x14ac:dyDescent="0.25">
      <c r="A70" s="20">
        <v>90065</v>
      </c>
      <c r="B70" s="21">
        <v>9</v>
      </c>
    </row>
    <row r="71" spans="1:2" x14ac:dyDescent="0.25">
      <c r="A71" s="20">
        <v>90066</v>
      </c>
      <c r="B71" s="21">
        <v>6</v>
      </c>
    </row>
    <row r="72" spans="1:2" x14ac:dyDescent="0.25">
      <c r="A72" s="20">
        <v>90067</v>
      </c>
      <c r="B72" s="21">
        <v>9</v>
      </c>
    </row>
    <row r="73" spans="1:2" x14ac:dyDescent="0.25">
      <c r="A73" s="20">
        <v>90068</v>
      </c>
      <c r="B73" s="21">
        <v>9</v>
      </c>
    </row>
    <row r="74" spans="1:2" x14ac:dyDescent="0.25">
      <c r="A74" s="20">
        <v>90069</v>
      </c>
      <c r="B74" s="21">
        <v>9</v>
      </c>
    </row>
    <row r="75" spans="1:2" x14ac:dyDescent="0.25">
      <c r="A75" s="20">
        <v>90070</v>
      </c>
      <c r="B75" s="21">
        <v>9</v>
      </c>
    </row>
    <row r="76" spans="1:2" x14ac:dyDescent="0.25">
      <c r="A76" s="20">
        <v>90071</v>
      </c>
      <c r="B76" s="21">
        <v>9</v>
      </c>
    </row>
    <row r="77" spans="1:2" x14ac:dyDescent="0.25">
      <c r="A77" s="20">
        <v>90072</v>
      </c>
      <c r="B77" s="21">
        <v>9</v>
      </c>
    </row>
    <row r="78" spans="1:2" x14ac:dyDescent="0.25">
      <c r="A78" s="20">
        <v>90073</v>
      </c>
      <c r="B78" s="21">
        <v>6</v>
      </c>
    </row>
    <row r="79" spans="1:2" x14ac:dyDescent="0.25">
      <c r="A79" s="20">
        <v>90074</v>
      </c>
      <c r="B79" s="21">
        <v>9</v>
      </c>
    </row>
    <row r="80" spans="1:2" x14ac:dyDescent="0.25">
      <c r="A80" s="20">
        <v>90075</v>
      </c>
      <c r="B80" s="21">
        <v>9</v>
      </c>
    </row>
    <row r="81" spans="1:2" x14ac:dyDescent="0.25">
      <c r="A81" s="20">
        <v>90076</v>
      </c>
      <c r="B81" s="21">
        <v>9</v>
      </c>
    </row>
    <row r="82" spans="1:2" x14ac:dyDescent="0.25">
      <c r="A82" s="20">
        <v>90077</v>
      </c>
      <c r="B82" s="21">
        <v>9</v>
      </c>
    </row>
    <row r="83" spans="1:2" x14ac:dyDescent="0.25">
      <c r="A83" s="20">
        <v>90078</v>
      </c>
      <c r="B83" s="21">
        <v>9</v>
      </c>
    </row>
    <row r="84" spans="1:2" x14ac:dyDescent="0.25">
      <c r="A84" s="20">
        <v>90079</v>
      </c>
      <c r="B84" s="21">
        <v>9</v>
      </c>
    </row>
    <row r="85" spans="1:2" x14ac:dyDescent="0.25">
      <c r="A85" s="20">
        <v>90080</v>
      </c>
      <c r="B85" s="21">
        <v>6</v>
      </c>
    </row>
    <row r="86" spans="1:2" x14ac:dyDescent="0.25">
      <c r="A86" s="20">
        <v>90081</v>
      </c>
      <c r="B86" s="21">
        <v>9</v>
      </c>
    </row>
    <row r="87" spans="1:2" x14ac:dyDescent="0.25">
      <c r="A87" s="20">
        <v>90082</v>
      </c>
      <c r="B87" s="21">
        <v>8</v>
      </c>
    </row>
    <row r="88" spans="1:2" x14ac:dyDescent="0.25">
      <c r="A88" s="20">
        <v>90083</v>
      </c>
      <c r="B88" s="21">
        <v>6</v>
      </c>
    </row>
    <row r="89" spans="1:2" x14ac:dyDescent="0.25">
      <c r="A89" s="20">
        <v>90084</v>
      </c>
      <c r="B89" s="21">
        <v>9</v>
      </c>
    </row>
    <row r="90" spans="1:2" x14ac:dyDescent="0.25">
      <c r="A90" s="20">
        <v>90086</v>
      </c>
      <c r="B90" s="21">
        <v>9</v>
      </c>
    </row>
    <row r="91" spans="1:2" x14ac:dyDescent="0.25">
      <c r="A91" s="20">
        <v>90087</v>
      </c>
      <c r="B91" s="21">
        <v>9</v>
      </c>
    </row>
    <row r="92" spans="1:2" x14ac:dyDescent="0.25">
      <c r="A92" s="20">
        <v>90088</v>
      </c>
      <c r="B92" s="21">
        <v>9</v>
      </c>
    </row>
    <row r="93" spans="1:2" x14ac:dyDescent="0.25">
      <c r="A93" s="20">
        <v>90089</v>
      </c>
      <c r="B93" s="21">
        <v>8</v>
      </c>
    </row>
    <row r="94" spans="1:2" x14ac:dyDescent="0.25">
      <c r="A94" s="20">
        <v>90091</v>
      </c>
      <c r="B94" s="21">
        <v>8</v>
      </c>
    </row>
    <row r="95" spans="1:2" x14ac:dyDescent="0.25">
      <c r="A95" s="20">
        <v>90093</v>
      </c>
      <c r="B95" s="21">
        <v>9</v>
      </c>
    </row>
    <row r="96" spans="1:2" x14ac:dyDescent="0.25">
      <c r="A96" s="20">
        <v>90094</v>
      </c>
      <c r="B96" s="21">
        <v>6</v>
      </c>
    </row>
    <row r="97" spans="1:2" x14ac:dyDescent="0.25">
      <c r="A97" s="20">
        <v>90095</v>
      </c>
      <c r="B97" s="21">
        <v>9</v>
      </c>
    </row>
    <row r="98" spans="1:2" x14ac:dyDescent="0.25">
      <c r="A98" s="20">
        <v>90096</v>
      </c>
      <c r="B98" s="21">
        <v>8</v>
      </c>
    </row>
    <row r="99" spans="1:2" x14ac:dyDescent="0.25">
      <c r="A99" s="20">
        <v>90097</v>
      </c>
      <c r="B99" s="21">
        <v>6</v>
      </c>
    </row>
    <row r="100" spans="1:2" x14ac:dyDescent="0.25">
      <c r="A100" s="20">
        <v>90099</v>
      </c>
      <c r="B100" s="21">
        <v>9</v>
      </c>
    </row>
    <row r="101" spans="1:2" x14ac:dyDescent="0.25">
      <c r="A101" s="20">
        <v>90101</v>
      </c>
      <c r="B101" s="21">
        <v>8</v>
      </c>
    </row>
    <row r="102" spans="1:2" x14ac:dyDescent="0.25">
      <c r="A102" s="20">
        <v>90102</v>
      </c>
      <c r="B102" s="21">
        <v>6</v>
      </c>
    </row>
    <row r="103" spans="1:2" x14ac:dyDescent="0.25">
      <c r="A103" s="20">
        <v>90103</v>
      </c>
      <c r="B103" s="21">
        <v>6</v>
      </c>
    </row>
    <row r="104" spans="1:2" x14ac:dyDescent="0.25">
      <c r="A104" s="20">
        <v>90174</v>
      </c>
      <c r="B104" s="21">
        <v>6</v>
      </c>
    </row>
    <row r="105" spans="1:2" x14ac:dyDescent="0.25">
      <c r="A105" s="20">
        <v>90185</v>
      </c>
      <c r="B105" s="21">
        <v>6</v>
      </c>
    </row>
    <row r="106" spans="1:2" x14ac:dyDescent="0.25">
      <c r="A106" s="20">
        <v>90201</v>
      </c>
      <c r="B106" s="21">
        <v>8</v>
      </c>
    </row>
    <row r="107" spans="1:2" x14ac:dyDescent="0.25">
      <c r="A107" s="20">
        <v>90202</v>
      </c>
      <c r="B107" s="21">
        <v>8</v>
      </c>
    </row>
    <row r="108" spans="1:2" x14ac:dyDescent="0.25">
      <c r="A108" s="20">
        <v>90209</v>
      </c>
      <c r="B108" s="21">
        <v>9</v>
      </c>
    </row>
    <row r="109" spans="1:2" x14ac:dyDescent="0.25">
      <c r="A109" s="20">
        <v>90210</v>
      </c>
      <c r="B109" s="21">
        <v>9</v>
      </c>
    </row>
    <row r="110" spans="1:2" x14ac:dyDescent="0.25">
      <c r="A110" s="20">
        <v>90211</v>
      </c>
      <c r="B110" s="21">
        <v>9</v>
      </c>
    </row>
    <row r="111" spans="1:2" x14ac:dyDescent="0.25">
      <c r="A111" s="20">
        <v>90212</v>
      </c>
      <c r="B111" s="21">
        <v>9</v>
      </c>
    </row>
    <row r="112" spans="1:2" x14ac:dyDescent="0.25">
      <c r="A112" s="20">
        <v>90213</v>
      </c>
      <c r="B112" s="21">
        <v>9</v>
      </c>
    </row>
    <row r="113" spans="1:2" x14ac:dyDescent="0.25">
      <c r="A113" s="20">
        <v>90220</v>
      </c>
      <c r="B113" s="21">
        <v>8</v>
      </c>
    </row>
    <row r="114" spans="1:2" x14ac:dyDescent="0.25">
      <c r="A114" s="20">
        <v>90221</v>
      </c>
      <c r="B114" s="21">
        <v>8</v>
      </c>
    </row>
    <row r="115" spans="1:2" x14ac:dyDescent="0.25">
      <c r="A115" s="20">
        <v>90222</v>
      </c>
      <c r="B115" s="21">
        <v>8</v>
      </c>
    </row>
    <row r="116" spans="1:2" x14ac:dyDescent="0.25">
      <c r="A116" s="20">
        <v>90223</v>
      </c>
      <c r="B116" s="21">
        <v>8</v>
      </c>
    </row>
    <row r="117" spans="1:2" x14ac:dyDescent="0.25">
      <c r="A117" s="20">
        <v>90224</v>
      </c>
      <c r="B117" s="21">
        <v>8</v>
      </c>
    </row>
    <row r="118" spans="1:2" x14ac:dyDescent="0.25">
      <c r="A118" s="20">
        <v>90230</v>
      </c>
      <c r="B118" s="21">
        <v>8</v>
      </c>
    </row>
    <row r="119" spans="1:2" x14ac:dyDescent="0.25">
      <c r="A119" s="20">
        <v>90231</v>
      </c>
      <c r="B119" s="21">
        <v>8</v>
      </c>
    </row>
    <row r="120" spans="1:2" x14ac:dyDescent="0.25">
      <c r="A120" s="20">
        <v>90232</v>
      </c>
      <c r="B120" s="21">
        <v>8</v>
      </c>
    </row>
    <row r="121" spans="1:2" x14ac:dyDescent="0.25">
      <c r="A121" s="20">
        <v>90233</v>
      </c>
      <c r="B121" s="21">
        <v>6</v>
      </c>
    </row>
    <row r="122" spans="1:2" x14ac:dyDescent="0.25">
      <c r="A122" s="20">
        <v>90239</v>
      </c>
      <c r="B122" s="21">
        <v>8</v>
      </c>
    </row>
    <row r="123" spans="1:2" x14ac:dyDescent="0.25">
      <c r="A123" s="20">
        <v>90240</v>
      </c>
      <c r="B123" s="21">
        <v>8</v>
      </c>
    </row>
    <row r="124" spans="1:2" x14ac:dyDescent="0.25">
      <c r="A124" s="20">
        <v>90241</v>
      </c>
      <c r="B124" s="21">
        <v>8</v>
      </c>
    </row>
    <row r="125" spans="1:2" x14ac:dyDescent="0.25">
      <c r="A125" s="20">
        <v>90242</v>
      </c>
      <c r="B125" s="21">
        <v>8</v>
      </c>
    </row>
    <row r="126" spans="1:2" x14ac:dyDescent="0.25">
      <c r="A126" s="20">
        <v>90245</v>
      </c>
      <c r="B126" s="21">
        <v>6</v>
      </c>
    </row>
    <row r="127" spans="1:2" x14ac:dyDescent="0.25">
      <c r="A127" s="20">
        <v>90247</v>
      </c>
      <c r="B127" s="21">
        <v>8</v>
      </c>
    </row>
    <row r="128" spans="1:2" x14ac:dyDescent="0.25">
      <c r="A128" s="20">
        <v>90248</v>
      </c>
      <c r="B128" s="21">
        <v>8</v>
      </c>
    </row>
    <row r="129" spans="1:2" x14ac:dyDescent="0.25">
      <c r="A129" s="20">
        <v>90249</v>
      </c>
      <c r="B129" s="21">
        <v>8</v>
      </c>
    </row>
    <row r="130" spans="1:2" x14ac:dyDescent="0.25">
      <c r="A130" s="20">
        <v>90250</v>
      </c>
      <c r="B130" s="21">
        <v>8</v>
      </c>
    </row>
    <row r="131" spans="1:2" x14ac:dyDescent="0.25">
      <c r="A131" s="20">
        <v>90251</v>
      </c>
      <c r="B131" s="21">
        <v>8</v>
      </c>
    </row>
    <row r="132" spans="1:2" x14ac:dyDescent="0.25">
      <c r="A132" s="20">
        <v>90254</v>
      </c>
      <c r="B132" s="21">
        <v>6</v>
      </c>
    </row>
    <row r="133" spans="1:2" x14ac:dyDescent="0.25">
      <c r="A133" s="20">
        <v>90255</v>
      </c>
      <c r="B133" s="21">
        <v>8</v>
      </c>
    </row>
    <row r="134" spans="1:2" x14ac:dyDescent="0.25">
      <c r="A134" s="20">
        <v>90260</v>
      </c>
      <c r="B134" s="21">
        <v>8</v>
      </c>
    </row>
    <row r="135" spans="1:2" x14ac:dyDescent="0.25">
      <c r="A135" s="20">
        <v>90261</v>
      </c>
      <c r="B135" s="21">
        <v>6</v>
      </c>
    </row>
    <row r="136" spans="1:2" x14ac:dyDescent="0.25">
      <c r="A136" s="20">
        <v>90262</v>
      </c>
      <c r="B136" s="21">
        <v>8</v>
      </c>
    </row>
    <row r="137" spans="1:2" x14ac:dyDescent="0.25">
      <c r="A137" s="20">
        <v>90263</v>
      </c>
      <c r="B137" s="21">
        <v>6</v>
      </c>
    </row>
    <row r="138" spans="1:2" x14ac:dyDescent="0.25">
      <c r="A138" s="20">
        <v>90264</v>
      </c>
      <c r="B138" s="21">
        <v>6</v>
      </c>
    </row>
    <row r="139" spans="1:2" x14ac:dyDescent="0.25">
      <c r="A139" s="20">
        <v>90265</v>
      </c>
      <c r="B139" s="21">
        <v>6</v>
      </c>
    </row>
    <row r="140" spans="1:2" x14ac:dyDescent="0.25">
      <c r="A140" s="20">
        <v>90266</v>
      </c>
      <c r="B140" s="21">
        <v>6</v>
      </c>
    </row>
    <row r="141" spans="1:2" x14ac:dyDescent="0.25">
      <c r="A141" s="20">
        <v>90267</v>
      </c>
      <c r="B141" s="21">
        <v>6</v>
      </c>
    </row>
    <row r="142" spans="1:2" x14ac:dyDescent="0.25">
      <c r="A142" s="20">
        <v>90270</v>
      </c>
      <c r="B142" s="21">
        <v>8</v>
      </c>
    </row>
    <row r="143" spans="1:2" x14ac:dyDescent="0.25">
      <c r="A143" s="20">
        <v>90272</v>
      </c>
      <c r="B143" s="21">
        <v>6</v>
      </c>
    </row>
    <row r="144" spans="1:2" x14ac:dyDescent="0.25">
      <c r="A144" s="20">
        <v>90274</v>
      </c>
      <c r="B144" s="21">
        <v>6</v>
      </c>
    </row>
    <row r="145" spans="1:2" x14ac:dyDescent="0.25">
      <c r="A145" s="20">
        <v>90275</v>
      </c>
      <c r="B145" s="21">
        <v>6</v>
      </c>
    </row>
    <row r="146" spans="1:2" x14ac:dyDescent="0.25">
      <c r="A146" s="20">
        <v>90277</v>
      </c>
      <c r="B146" s="21">
        <v>6</v>
      </c>
    </row>
    <row r="147" spans="1:2" x14ac:dyDescent="0.25">
      <c r="A147" s="20">
        <v>90278</v>
      </c>
      <c r="B147" s="21">
        <v>6</v>
      </c>
    </row>
    <row r="148" spans="1:2" x14ac:dyDescent="0.25">
      <c r="A148" s="20">
        <v>90280</v>
      </c>
      <c r="B148" s="21">
        <v>8</v>
      </c>
    </row>
    <row r="149" spans="1:2" x14ac:dyDescent="0.25">
      <c r="A149" s="20">
        <v>90290</v>
      </c>
      <c r="B149" s="21">
        <v>6</v>
      </c>
    </row>
    <row r="150" spans="1:2" x14ac:dyDescent="0.25">
      <c r="A150" s="20">
        <v>90291</v>
      </c>
      <c r="B150" s="21">
        <v>6</v>
      </c>
    </row>
    <row r="151" spans="1:2" x14ac:dyDescent="0.25">
      <c r="A151" s="20">
        <v>90292</v>
      </c>
      <c r="B151" s="21">
        <v>6</v>
      </c>
    </row>
    <row r="152" spans="1:2" x14ac:dyDescent="0.25">
      <c r="A152" s="20">
        <v>90293</v>
      </c>
      <c r="B152" s="21">
        <v>6</v>
      </c>
    </row>
    <row r="153" spans="1:2" x14ac:dyDescent="0.25">
      <c r="A153" s="20">
        <v>90294</v>
      </c>
      <c r="B153" s="21">
        <v>6</v>
      </c>
    </row>
    <row r="154" spans="1:2" x14ac:dyDescent="0.25">
      <c r="A154" s="20">
        <v>90295</v>
      </c>
      <c r="B154" s="21">
        <v>6</v>
      </c>
    </row>
    <row r="155" spans="1:2" x14ac:dyDescent="0.25">
      <c r="A155" s="20">
        <v>90296</v>
      </c>
      <c r="B155" s="21">
        <v>6</v>
      </c>
    </row>
    <row r="156" spans="1:2" x14ac:dyDescent="0.25">
      <c r="A156" s="20">
        <v>90301</v>
      </c>
      <c r="B156" s="21">
        <v>8</v>
      </c>
    </row>
    <row r="157" spans="1:2" x14ac:dyDescent="0.25">
      <c r="A157" s="20">
        <v>90302</v>
      </c>
      <c r="B157" s="21">
        <v>8</v>
      </c>
    </row>
    <row r="158" spans="1:2" x14ac:dyDescent="0.25">
      <c r="A158" s="20">
        <v>90303</v>
      </c>
      <c r="B158" s="21">
        <v>8</v>
      </c>
    </row>
    <row r="159" spans="1:2" x14ac:dyDescent="0.25">
      <c r="A159" s="20">
        <v>90304</v>
      </c>
      <c r="B159" s="21">
        <v>8</v>
      </c>
    </row>
    <row r="160" spans="1:2" x14ac:dyDescent="0.25">
      <c r="A160" s="20">
        <v>90305</v>
      </c>
      <c r="B160" s="21">
        <v>8</v>
      </c>
    </row>
    <row r="161" spans="1:2" x14ac:dyDescent="0.25">
      <c r="A161" s="20">
        <v>90306</v>
      </c>
      <c r="B161" s="21">
        <v>8</v>
      </c>
    </row>
    <row r="162" spans="1:2" x14ac:dyDescent="0.25">
      <c r="A162" s="20">
        <v>90307</v>
      </c>
      <c r="B162" s="21">
        <v>8</v>
      </c>
    </row>
    <row r="163" spans="1:2" x14ac:dyDescent="0.25">
      <c r="A163" s="20">
        <v>90308</v>
      </c>
      <c r="B163" s="21">
        <v>8</v>
      </c>
    </row>
    <row r="164" spans="1:2" x14ac:dyDescent="0.25">
      <c r="A164" s="20">
        <v>90309</v>
      </c>
      <c r="B164" s="21">
        <v>8</v>
      </c>
    </row>
    <row r="165" spans="1:2" x14ac:dyDescent="0.25">
      <c r="A165" s="20">
        <v>90310</v>
      </c>
      <c r="B165" s="21">
        <v>8</v>
      </c>
    </row>
    <row r="166" spans="1:2" x14ac:dyDescent="0.25">
      <c r="A166" s="20">
        <v>90311</v>
      </c>
      <c r="B166" s="21">
        <v>8</v>
      </c>
    </row>
    <row r="167" spans="1:2" x14ac:dyDescent="0.25">
      <c r="A167" s="20">
        <v>90312</v>
      </c>
      <c r="B167" s="21">
        <v>8</v>
      </c>
    </row>
    <row r="168" spans="1:2" x14ac:dyDescent="0.25">
      <c r="A168" s="20">
        <v>90313</v>
      </c>
      <c r="B168" s="21">
        <v>6</v>
      </c>
    </row>
    <row r="169" spans="1:2" x14ac:dyDescent="0.25">
      <c r="A169" s="20">
        <v>90397</v>
      </c>
      <c r="B169" s="21">
        <v>6</v>
      </c>
    </row>
    <row r="170" spans="1:2" x14ac:dyDescent="0.25">
      <c r="A170" s="20">
        <v>90398</v>
      </c>
      <c r="B170" s="21">
        <v>6</v>
      </c>
    </row>
    <row r="171" spans="1:2" x14ac:dyDescent="0.25">
      <c r="A171" s="20">
        <v>90401</v>
      </c>
      <c r="B171" s="21">
        <v>6</v>
      </c>
    </row>
    <row r="172" spans="1:2" x14ac:dyDescent="0.25">
      <c r="A172" s="20">
        <v>90402</v>
      </c>
      <c r="B172" s="21">
        <v>6</v>
      </c>
    </row>
    <row r="173" spans="1:2" x14ac:dyDescent="0.25">
      <c r="A173" s="20">
        <v>90403</v>
      </c>
      <c r="B173" s="21">
        <v>6</v>
      </c>
    </row>
    <row r="174" spans="1:2" x14ac:dyDescent="0.25">
      <c r="A174" s="20">
        <v>90404</v>
      </c>
      <c r="B174" s="21">
        <v>6</v>
      </c>
    </row>
    <row r="175" spans="1:2" x14ac:dyDescent="0.25">
      <c r="A175" s="20">
        <v>90405</v>
      </c>
      <c r="B175" s="21">
        <v>6</v>
      </c>
    </row>
    <row r="176" spans="1:2" x14ac:dyDescent="0.25">
      <c r="A176" s="20">
        <v>90406</v>
      </c>
      <c r="B176" s="21">
        <v>6</v>
      </c>
    </row>
    <row r="177" spans="1:2" x14ac:dyDescent="0.25">
      <c r="A177" s="20">
        <v>90407</v>
      </c>
      <c r="B177" s="21">
        <v>6</v>
      </c>
    </row>
    <row r="178" spans="1:2" x14ac:dyDescent="0.25">
      <c r="A178" s="20">
        <v>90408</v>
      </c>
      <c r="B178" s="21">
        <v>6</v>
      </c>
    </row>
    <row r="179" spans="1:2" x14ac:dyDescent="0.25">
      <c r="A179" s="20">
        <v>90409</v>
      </c>
      <c r="B179" s="21">
        <v>6</v>
      </c>
    </row>
    <row r="180" spans="1:2" x14ac:dyDescent="0.25">
      <c r="A180" s="20">
        <v>90410</v>
      </c>
      <c r="B180" s="21">
        <v>6</v>
      </c>
    </row>
    <row r="181" spans="1:2" x14ac:dyDescent="0.25">
      <c r="A181" s="20">
        <v>90411</v>
      </c>
      <c r="B181" s="21">
        <v>6</v>
      </c>
    </row>
    <row r="182" spans="1:2" x14ac:dyDescent="0.25">
      <c r="A182" s="20">
        <v>90501</v>
      </c>
      <c r="B182" s="21">
        <v>6</v>
      </c>
    </row>
    <row r="183" spans="1:2" x14ac:dyDescent="0.25">
      <c r="A183" s="20">
        <v>90502</v>
      </c>
      <c r="B183" s="21">
        <v>6</v>
      </c>
    </row>
    <row r="184" spans="1:2" x14ac:dyDescent="0.25">
      <c r="A184" s="20">
        <v>90503</v>
      </c>
      <c r="B184" s="21">
        <v>6</v>
      </c>
    </row>
    <row r="185" spans="1:2" x14ac:dyDescent="0.25">
      <c r="A185" s="20">
        <v>90504</v>
      </c>
      <c r="B185" s="21">
        <v>8</v>
      </c>
    </row>
    <row r="186" spans="1:2" x14ac:dyDescent="0.25">
      <c r="A186" s="20">
        <v>90505</v>
      </c>
      <c r="B186" s="21">
        <v>6</v>
      </c>
    </row>
    <row r="187" spans="1:2" x14ac:dyDescent="0.25">
      <c r="A187" s="20">
        <v>90506</v>
      </c>
      <c r="B187" s="21">
        <v>8</v>
      </c>
    </row>
    <row r="188" spans="1:2" x14ac:dyDescent="0.25">
      <c r="A188" s="20">
        <v>90507</v>
      </c>
      <c r="B188" s="21">
        <v>6</v>
      </c>
    </row>
    <row r="189" spans="1:2" x14ac:dyDescent="0.25">
      <c r="A189" s="20">
        <v>90508</v>
      </c>
      <c r="B189" s="21">
        <v>6</v>
      </c>
    </row>
    <row r="190" spans="1:2" x14ac:dyDescent="0.25">
      <c r="A190" s="20">
        <v>90509</v>
      </c>
      <c r="B190" s="21">
        <v>6</v>
      </c>
    </row>
    <row r="191" spans="1:2" x14ac:dyDescent="0.25">
      <c r="A191" s="20">
        <v>90510</v>
      </c>
      <c r="B191" s="21">
        <v>6</v>
      </c>
    </row>
    <row r="192" spans="1:2" x14ac:dyDescent="0.25">
      <c r="A192" s="20">
        <v>90601</v>
      </c>
      <c r="B192" s="21">
        <v>9</v>
      </c>
    </row>
    <row r="193" spans="1:2" x14ac:dyDescent="0.25">
      <c r="A193" s="20">
        <v>90602</v>
      </c>
      <c r="B193" s="21">
        <v>9</v>
      </c>
    </row>
    <row r="194" spans="1:2" x14ac:dyDescent="0.25">
      <c r="A194" s="20">
        <v>90603</v>
      </c>
      <c r="B194" s="21">
        <v>9</v>
      </c>
    </row>
    <row r="195" spans="1:2" x14ac:dyDescent="0.25">
      <c r="A195" s="20">
        <v>90604</v>
      </c>
      <c r="B195" s="21">
        <v>9</v>
      </c>
    </row>
    <row r="196" spans="1:2" x14ac:dyDescent="0.25">
      <c r="A196" s="20">
        <v>90605</v>
      </c>
      <c r="B196" s="21">
        <v>9</v>
      </c>
    </row>
    <row r="197" spans="1:2" x14ac:dyDescent="0.25">
      <c r="A197" s="20">
        <v>90606</v>
      </c>
      <c r="B197" s="21">
        <v>9</v>
      </c>
    </row>
    <row r="198" spans="1:2" x14ac:dyDescent="0.25">
      <c r="A198" s="20">
        <v>90607</v>
      </c>
      <c r="B198" s="21">
        <v>9</v>
      </c>
    </row>
    <row r="199" spans="1:2" x14ac:dyDescent="0.25">
      <c r="A199" s="20">
        <v>90608</v>
      </c>
      <c r="B199" s="21">
        <v>9</v>
      </c>
    </row>
    <row r="200" spans="1:2" x14ac:dyDescent="0.25">
      <c r="A200" s="20">
        <v>90609</v>
      </c>
      <c r="B200" s="21">
        <v>9</v>
      </c>
    </row>
    <row r="201" spans="1:2" x14ac:dyDescent="0.25">
      <c r="A201" s="20">
        <v>90610</v>
      </c>
      <c r="B201" s="21">
        <v>9</v>
      </c>
    </row>
    <row r="202" spans="1:2" x14ac:dyDescent="0.25">
      <c r="A202" s="20">
        <v>90612</v>
      </c>
      <c r="B202" s="21">
        <v>6</v>
      </c>
    </row>
    <row r="203" spans="1:2" x14ac:dyDescent="0.25">
      <c r="A203" s="20">
        <v>90620</v>
      </c>
      <c r="B203" s="21">
        <v>8</v>
      </c>
    </row>
    <row r="204" spans="1:2" x14ac:dyDescent="0.25">
      <c r="A204" s="20">
        <v>90621</v>
      </c>
      <c r="B204" s="21">
        <v>8</v>
      </c>
    </row>
    <row r="205" spans="1:2" x14ac:dyDescent="0.25">
      <c r="A205" s="20">
        <v>90622</v>
      </c>
      <c r="B205" s="21">
        <v>8</v>
      </c>
    </row>
    <row r="206" spans="1:2" x14ac:dyDescent="0.25">
      <c r="A206" s="20">
        <v>90623</v>
      </c>
      <c r="B206" s="21">
        <v>8</v>
      </c>
    </row>
    <row r="207" spans="1:2" x14ac:dyDescent="0.25">
      <c r="A207" s="20">
        <v>90624</v>
      </c>
      <c r="B207" s="21">
        <v>8</v>
      </c>
    </row>
    <row r="208" spans="1:2" x14ac:dyDescent="0.25">
      <c r="A208" s="20">
        <v>90630</v>
      </c>
      <c r="B208" s="21">
        <v>8</v>
      </c>
    </row>
    <row r="209" spans="1:2" x14ac:dyDescent="0.25">
      <c r="A209" s="20">
        <v>90631</v>
      </c>
      <c r="B209" s="21">
        <v>8</v>
      </c>
    </row>
    <row r="210" spans="1:2" x14ac:dyDescent="0.25">
      <c r="A210" s="20">
        <v>90632</v>
      </c>
      <c r="B210" s="21">
        <v>8</v>
      </c>
    </row>
    <row r="211" spans="1:2" x14ac:dyDescent="0.25">
      <c r="A211" s="20">
        <v>90633</v>
      </c>
      <c r="B211" s="21">
        <v>8</v>
      </c>
    </row>
    <row r="212" spans="1:2" x14ac:dyDescent="0.25">
      <c r="A212" s="20">
        <v>90637</v>
      </c>
      <c r="B212" s="21">
        <v>9</v>
      </c>
    </row>
    <row r="213" spans="1:2" x14ac:dyDescent="0.25">
      <c r="A213" s="20">
        <v>90638</v>
      </c>
      <c r="B213" s="21">
        <v>9</v>
      </c>
    </row>
    <row r="214" spans="1:2" x14ac:dyDescent="0.25">
      <c r="A214" s="20">
        <v>90639</v>
      </c>
      <c r="B214" s="21">
        <v>9</v>
      </c>
    </row>
    <row r="215" spans="1:2" x14ac:dyDescent="0.25">
      <c r="A215" s="20">
        <v>90640</v>
      </c>
      <c r="B215" s="21">
        <v>9</v>
      </c>
    </row>
    <row r="216" spans="1:2" x14ac:dyDescent="0.25">
      <c r="A216" s="20">
        <v>90650</v>
      </c>
      <c r="B216" s="21">
        <v>8</v>
      </c>
    </row>
    <row r="217" spans="1:2" x14ac:dyDescent="0.25">
      <c r="A217" s="20">
        <v>90651</v>
      </c>
      <c r="B217" s="21">
        <v>8</v>
      </c>
    </row>
    <row r="218" spans="1:2" x14ac:dyDescent="0.25">
      <c r="A218" s="20">
        <v>90652</v>
      </c>
      <c r="B218" s="21">
        <v>8</v>
      </c>
    </row>
    <row r="219" spans="1:2" x14ac:dyDescent="0.25">
      <c r="A219" s="20">
        <v>90659</v>
      </c>
      <c r="B219" s="21">
        <v>6</v>
      </c>
    </row>
    <row r="220" spans="1:2" x14ac:dyDescent="0.25">
      <c r="A220" s="20">
        <v>90660</v>
      </c>
      <c r="B220" s="21">
        <v>9</v>
      </c>
    </row>
    <row r="221" spans="1:2" x14ac:dyDescent="0.25">
      <c r="A221" s="20">
        <v>90661</v>
      </c>
      <c r="B221" s="21">
        <v>9</v>
      </c>
    </row>
    <row r="222" spans="1:2" x14ac:dyDescent="0.25">
      <c r="A222" s="20">
        <v>90662</v>
      </c>
      <c r="B222" s="21">
        <v>9</v>
      </c>
    </row>
    <row r="223" spans="1:2" x14ac:dyDescent="0.25">
      <c r="A223" s="20">
        <v>90665</v>
      </c>
      <c r="B223" s="21">
        <v>6</v>
      </c>
    </row>
    <row r="224" spans="1:2" x14ac:dyDescent="0.25">
      <c r="A224" s="20">
        <v>90670</v>
      </c>
      <c r="B224" s="21">
        <v>9</v>
      </c>
    </row>
    <row r="225" spans="1:2" x14ac:dyDescent="0.25">
      <c r="A225" s="20">
        <v>90671</v>
      </c>
      <c r="B225" s="21">
        <v>9</v>
      </c>
    </row>
    <row r="226" spans="1:2" x14ac:dyDescent="0.25">
      <c r="A226" s="20">
        <v>90680</v>
      </c>
      <c r="B226" s="21">
        <v>8</v>
      </c>
    </row>
    <row r="227" spans="1:2" x14ac:dyDescent="0.25">
      <c r="A227" s="20">
        <v>90701</v>
      </c>
      <c r="B227" s="21">
        <v>8</v>
      </c>
    </row>
    <row r="228" spans="1:2" x14ac:dyDescent="0.25">
      <c r="A228" s="20">
        <v>90702</v>
      </c>
      <c r="B228" s="21">
        <v>8</v>
      </c>
    </row>
    <row r="229" spans="1:2" x14ac:dyDescent="0.25">
      <c r="A229" s="20">
        <v>90703</v>
      </c>
      <c r="B229" s="21">
        <v>8</v>
      </c>
    </row>
    <row r="230" spans="1:2" x14ac:dyDescent="0.25">
      <c r="A230" s="20">
        <v>90704</v>
      </c>
      <c r="B230" s="21">
        <v>6</v>
      </c>
    </row>
    <row r="231" spans="1:2" x14ac:dyDescent="0.25">
      <c r="A231" s="20">
        <v>90706</v>
      </c>
      <c r="B231" s="21">
        <v>8</v>
      </c>
    </row>
    <row r="232" spans="1:2" x14ac:dyDescent="0.25">
      <c r="A232" s="20">
        <v>90707</v>
      </c>
      <c r="B232" s="21">
        <v>8</v>
      </c>
    </row>
    <row r="233" spans="1:2" x14ac:dyDescent="0.25">
      <c r="A233" s="20">
        <v>90710</v>
      </c>
      <c r="B233" s="21">
        <v>6</v>
      </c>
    </row>
    <row r="234" spans="1:2" x14ac:dyDescent="0.25">
      <c r="A234" s="20">
        <v>90711</v>
      </c>
      <c r="B234" s="21">
        <v>8</v>
      </c>
    </row>
    <row r="235" spans="1:2" x14ac:dyDescent="0.25">
      <c r="A235" s="20">
        <v>90712</v>
      </c>
      <c r="B235" s="21">
        <v>8</v>
      </c>
    </row>
    <row r="236" spans="1:2" x14ac:dyDescent="0.25">
      <c r="A236" s="20">
        <v>90713</v>
      </c>
      <c r="B236" s="21">
        <v>8</v>
      </c>
    </row>
    <row r="237" spans="1:2" x14ac:dyDescent="0.25">
      <c r="A237" s="20">
        <v>90714</v>
      </c>
      <c r="B237" s="21">
        <v>8</v>
      </c>
    </row>
    <row r="238" spans="1:2" x14ac:dyDescent="0.25">
      <c r="A238" s="20">
        <v>90715</v>
      </c>
      <c r="B238" s="21">
        <v>8</v>
      </c>
    </row>
    <row r="239" spans="1:2" x14ac:dyDescent="0.25">
      <c r="A239" s="20">
        <v>90716</v>
      </c>
      <c r="B239" s="21">
        <v>8</v>
      </c>
    </row>
    <row r="240" spans="1:2" x14ac:dyDescent="0.25">
      <c r="A240" s="20">
        <v>90717</v>
      </c>
      <c r="B240" s="21">
        <v>6</v>
      </c>
    </row>
    <row r="241" spans="1:2" x14ac:dyDescent="0.25">
      <c r="A241" s="20">
        <v>90720</v>
      </c>
      <c r="B241" s="21">
        <v>8</v>
      </c>
    </row>
    <row r="242" spans="1:2" x14ac:dyDescent="0.25">
      <c r="A242" s="20">
        <v>90721</v>
      </c>
      <c r="B242" s="21">
        <v>8</v>
      </c>
    </row>
    <row r="243" spans="1:2" x14ac:dyDescent="0.25">
      <c r="A243" s="20">
        <v>90723</v>
      </c>
      <c r="B243" s="21">
        <v>8</v>
      </c>
    </row>
    <row r="244" spans="1:2" x14ac:dyDescent="0.25">
      <c r="A244" s="20">
        <v>90731</v>
      </c>
      <c r="B244" s="21">
        <v>6</v>
      </c>
    </row>
    <row r="245" spans="1:2" x14ac:dyDescent="0.25">
      <c r="A245" s="20">
        <v>90732</v>
      </c>
      <c r="B245" s="21">
        <v>6</v>
      </c>
    </row>
    <row r="246" spans="1:2" x14ac:dyDescent="0.25">
      <c r="A246" s="20">
        <v>90733</v>
      </c>
      <c r="B246" s="21">
        <v>6</v>
      </c>
    </row>
    <row r="247" spans="1:2" x14ac:dyDescent="0.25">
      <c r="A247" s="20">
        <v>90734</v>
      </c>
      <c r="B247" s="21">
        <v>6</v>
      </c>
    </row>
    <row r="248" spans="1:2" x14ac:dyDescent="0.25">
      <c r="A248" s="20">
        <v>90740</v>
      </c>
      <c r="B248" s="21">
        <v>6</v>
      </c>
    </row>
    <row r="249" spans="1:2" x14ac:dyDescent="0.25">
      <c r="A249" s="20">
        <v>90742</v>
      </c>
      <c r="B249" s="21">
        <v>6</v>
      </c>
    </row>
    <row r="250" spans="1:2" x14ac:dyDescent="0.25">
      <c r="A250" s="20">
        <v>90743</v>
      </c>
      <c r="B250" s="21">
        <v>6</v>
      </c>
    </row>
    <row r="251" spans="1:2" x14ac:dyDescent="0.25">
      <c r="A251" s="20">
        <v>90744</v>
      </c>
      <c r="B251" s="21">
        <v>6</v>
      </c>
    </row>
    <row r="252" spans="1:2" x14ac:dyDescent="0.25">
      <c r="A252" s="20">
        <v>90745</v>
      </c>
      <c r="B252" s="21">
        <v>6</v>
      </c>
    </row>
    <row r="253" spans="1:2" x14ac:dyDescent="0.25">
      <c r="A253" s="20">
        <v>90746</v>
      </c>
      <c r="B253" s="21">
        <v>8</v>
      </c>
    </row>
    <row r="254" spans="1:2" x14ac:dyDescent="0.25">
      <c r="A254" s="20">
        <v>90747</v>
      </c>
      <c r="B254" s="21">
        <v>8</v>
      </c>
    </row>
    <row r="255" spans="1:2" x14ac:dyDescent="0.25">
      <c r="A255" s="20">
        <v>90748</v>
      </c>
      <c r="B255" s="21">
        <v>6</v>
      </c>
    </row>
    <row r="256" spans="1:2" x14ac:dyDescent="0.25">
      <c r="A256" s="20">
        <v>90749</v>
      </c>
      <c r="B256" s="21">
        <v>6</v>
      </c>
    </row>
    <row r="257" spans="1:2" x14ac:dyDescent="0.25">
      <c r="A257" s="20">
        <v>90801</v>
      </c>
      <c r="B257" s="21">
        <v>6</v>
      </c>
    </row>
    <row r="258" spans="1:2" x14ac:dyDescent="0.25">
      <c r="A258" s="20">
        <v>90802</v>
      </c>
      <c r="B258" s="21">
        <v>6</v>
      </c>
    </row>
    <row r="259" spans="1:2" x14ac:dyDescent="0.25">
      <c r="A259" s="20">
        <v>90803</v>
      </c>
      <c r="B259" s="21">
        <v>6</v>
      </c>
    </row>
    <row r="260" spans="1:2" x14ac:dyDescent="0.25">
      <c r="A260" s="20">
        <v>90804</v>
      </c>
      <c r="B260" s="21">
        <v>6</v>
      </c>
    </row>
    <row r="261" spans="1:2" x14ac:dyDescent="0.25">
      <c r="A261" s="20">
        <v>90805</v>
      </c>
      <c r="B261" s="21">
        <v>8</v>
      </c>
    </row>
    <row r="262" spans="1:2" x14ac:dyDescent="0.25">
      <c r="A262" s="20">
        <v>90806</v>
      </c>
      <c r="B262" s="21">
        <v>6</v>
      </c>
    </row>
    <row r="263" spans="1:2" x14ac:dyDescent="0.25">
      <c r="A263" s="20">
        <v>90807</v>
      </c>
      <c r="B263" s="21">
        <v>8</v>
      </c>
    </row>
    <row r="264" spans="1:2" x14ac:dyDescent="0.25">
      <c r="A264" s="20">
        <v>90808</v>
      </c>
      <c r="B264" s="21">
        <v>8</v>
      </c>
    </row>
    <row r="265" spans="1:2" x14ac:dyDescent="0.25">
      <c r="A265" s="20">
        <v>90809</v>
      </c>
      <c r="B265" s="21">
        <v>6</v>
      </c>
    </row>
    <row r="266" spans="1:2" x14ac:dyDescent="0.25">
      <c r="A266" s="20">
        <v>90810</v>
      </c>
      <c r="B266" s="21">
        <v>6</v>
      </c>
    </row>
    <row r="267" spans="1:2" x14ac:dyDescent="0.25">
      <c r="A267" s="20">
        <v>90813</v>
      </c>
      <c r="B267" s="21">
        <v>6</v>
      </c>
    </row>
    <row r="268" spans="1:2" x14ac:dyDescent="0.25">
      <c r="A268" s="20">
        <v>90814</v>
      </c>
      <c r="B268" s="21">
        <v>6</v>
      </c>
    </row>
    <row r="269" spans="1:2" x14ac:dyDescent="0.25">
      <c r="A269" s="20">
        <v>90815</v>
      </c>
      <c r="B269" s="21">
        <v>6</v>
      </c>
    </row>
    <row r="270" spans="1:2" x14ac:dyDescent="0.25">
      <c r="A270" s="20">
        <v>90822</v>
      </c>
      <c r="B270" s="21">
        <v>6</v>
      </c>
    </row>
    <row r="271" spans="1:2" x14ac:dyDescent="0.25">
      <c r="A271" s="20">
        <v>90831</v>
      </c>
      <c r="B271" s="21">
        <v>6</v>
      </c>
    </row>
    <row r="272" spans="1:2" x14ac:dyDescent="0.25">
      <c r="A272" s="20">
        <v>90832</v>
      </c>
      <c r="B272" s="21">
        <v>6</v>
      </c>
    </row>
    <row r="273" spans="1:2" x14ac:dyDescent="0.25">
      <c r="A273" s="20">
        <v>90833</v>
      </c>
      <c r="B273" s="21">
        <v>6</v>
      </c>
    </row>
    <row r="274" spans="1:2" x14ac:dyDescent="0.25">
      <c r="A274" s="20">
        <v>90834</v>
      </c>
      <c r="B274" s="21">
        <v>6</v>
      </c>
    </row>
    <row r="275" spans="1:2" x14ac:dyDescent="0.25">
      <c r="A275" s="20">
        <v>90835</v>
      </c>
      <c r="B275" s="21">
        <v>6</v>
      </c>
    </row>
    <row r="276" spans="1:2" x14ac:dyDescent="0.25">
      <c r="A276" s="20">
        <v>90840</v>
      </c>
      <c r="B276" s="21">
        <v>6</v>
      </c>
    </row>
    <row r="277" spans="1:2" x14ac:dyDescent="0.25">
      <c r="A277" s="20">
        <v>90842</v>
      </c>
      <c r="B277" s="21">
        <v>8</v>
      </c>
    </row>
    <row r="278" spans="1:2" x14ac:dyDescent="0.25">
      <c r="A278" s="20">
        <v>90844</v>
      </c>
      <c r="B278" s="21">
        <v>6</v>
      </c>
    </row>
    <row r="279" spans="1:2" x14ac:dyDescent="0.25">
      <c r="A279" s="20">
        <v>90845</v>
      </c>
      <c r="B279" s="21">
        <v>6</v>
      </c>
    </row>
    <row r="280" spans="1:2" x14ac:dyDescent="0.25">
      <c r="A280" s="20">
        <v>90846</v>
      </c>
      <c r="B280" s="21">
        <v>8</v>
      </c>
    </row>
    <row r="281" spans="1:2" x14ac:dyDescent="0.25">
      <c r="A281" s="20">
        <v>90847</v>
      </c>
      <c r="B281" s="21">
        <v>8</v>
      </c>
    </row>
    <row r="282" spans="1:2" x14ac:dyDescent="0.25">
      <c r="A282" s="20">
        <v>90848</v>
      </c>
      <c r="B282" s="21">
        <v>8</v>
      </c>
    </row>
    <row r="283" spans="1:2" x14ac:dyDescent="0.25">
      <c r="A283" s="20">
        <v>90853</v>
      </c>
      <c r="B283" s="21">
        <v>6</v>
      </c>
    </row>
    <row r="284" spans="1:2" x14ac:dyDescent="0.25">
      <c r="A284" s="20">
        <v>90888</v>
      </c>
      <c r="B284" s="21">
        <v>6</v>
      </c>
    </row>
    <row r="285" spans="1:2" x14ac:dyDescent="0.25">
      <c r="A285" s="20">
        <v>91001</v>
      </c>
      <c r="B285" s="21">
        <v>9</v>
      </c>
    </row>
    <row r="286" spans="1:2" x14ac:dyDescent="0.25">
      <c r="A286" s="20">
        <v>91003</v>
      </c>
      <c r="B286" s="21">
        <v>9</v>
      </c>
    </row>
    <row r="287" spans="1:2" x14ac:dyDescent="0.25">
      <c r="A287" s="20">
        <v>91006</v>
      </c>
      <c r="B287" s="21">
        <v>9</v>
      </c>
    </row>
    <row r="288" spans="1:2" x14ac:dyDescent="0.25">
      <c r="A288" s="20">
        <v>91007</v>
      </c>
      <c r="B288" s="21">
        <v>9</v>
      </c>
    </row>
    <row r="289" spans="1:2" x14ac:dyDescent="0.25">
      <c r="A289" s="20">
        <v>91009</v>
      </c>
      <c r="B289" s="21">
        <v>9</v>
      </c>
    </row>
    <row r="290" spans="1:2" x14ac:dyDescent="0.25">
      <c r="A290" s="20">
        <v>91010</v>
      </c>
      <c r="B290" s="21">
        <v>9</v>
      </c>
    </row>
    <row r="291" spans="1:2" x14ac:dyDescent="0.25">
      <c r="A291" s="20">
        <v>91011</v>
      </c>
      <c r="B291" s="21">
        <v>9</v>
      </c>
    </row>
    <row r="292" spans="1:2" x14ac:dyDescent="0.25">
      <c r="A292" s="20">
        <v>91012</v>
      </c>
      <c r="B292" s="21">
        <v>9</v>
      </c>
    </row>
    <row r="293" spans="1:2" x14ac:dyDescent="0.25">
      <c r="A293" s="20">
        <v>91016</v>
      </c>
      <c r="B293" s="21">
        <v>9</v>
      </c>
    </row>
    <row r="294" spans="1:2" x14ac:dyDescent="0.25">
      <c r="A294" s="20">
        <v>91017</v>
      </c>
      <c r="B294" s="21">
        <v>9</v>
      </c>
    </row>
    <row r="295" spans="1:2" x14ac:dyDescent="0.25">
      <c r="A295" s="20">
        <v>91020</v>
      </c>
      <c r="B295" s="21">
        <v>9</v>
      </c>
    </row>
    <row r="296" spans="1:2" x14ac:dyDescent="0.25">
      <c r="A296" s="20">
        <v>91021</v>
      </c>
      <c r="B296" s="21">
        <v>9</v>
      </c>
    </row>
    <row r="297" spans="1:2" x14ac:dyDescent="0.25">
      <c r="A297" s="20">
        <v>91023</v>
      </c>
      <c r="B297" s="21">
        <v>16</v>
      </c>
    </row>
    <row r="298" spans="1:2" x14ac:dyDescent="0.25">
      <c r="A298" s="20">
        <v>91024</v>
      </c>
      <c r="B298" s="21">
        <v>9</v>
      </c>
    </row>
    <row r="299" spans="1:2" x14ac:dyDescent="0.25">
      <c r="A299" s="20">
        <v>91025</v>
      </c>
      <c r="B299" s="21">
        <v>9</v>
      </c>
    </row>
    <row r="300" spans="1:2" x14ac:dyDescent="0.25">
      <c r="A300" s="20">
        <v>91030</v>
      </c>
      <c r="B300" s="21">
        <v>9</v>
      </c>
    </row>
    <row r="301" spans="1:2" x14ac:dyDescent="0.25">
      <c r="A301" s="20">
        <v>91031</v>
      </c>
      <c r="B301" s="21">
        <v>9</v>
      </c>
    </row>
    <row r="302" spans="1:2" x14ac:dyDescent="0.25">
      <c r="A302" s="20">
        <v>91040</v>
      </c>
      <c r="B302" s="21">
        <v>16</v>
      </c>
    </row>
    <row r="303" spans="1:2" x14ac:dyDescent="0.25">
      <c r="A303" s="20">
        <v>91041</v>
      </c>
      <c r="B303" s="21">
        <v>9</v>
      </c>
    </row>
    <row r="304" spans="1:2" x14ac:dyDescent="0.25">
      <c r="A304" s="20">
        <v>91042</v>
      </c>
      <c r="B304" s="21">
        <v>16</v>
      </c>
    </row>
    <row r="305" spans="1:2" x14ac:dyDescent="0.25">
      <c r="A305" s="20">
        <v>91043</v>
      </c>
      <c r="B305" s="21">
        <v>9</v>
      </c>
    </row>
    <row r="306" spans="1:2" x14ac:dyDescent="0.25">
      <c r="A306" s="20">
        <v>91046</v>
      </c>
      <c r="B306" s="21">
        <v>9</v>
      </c>
    </row>
    <row r="307" spans="1:2" x14ac:dyDescent="0.25">
      <c r="A307" s="20">
        <v>91050</v>
      </c>
      <c r="B307" s="21">
        <v>9</v>
      </c>
    </row>
    <row r="308" spans="1:2" x14ac:dyDescent="0.25">
      <c r="A308" s="20">
        <v>91051</v>
      </c>
      <c r="B308" s="21">
        <v>9</v>
      </c>
    </row>
    <row r="309" spans="1:2" x14ac:dyDescent="0.25">
      <c r="A309" s="20">
        <v>91066</v>
      </c>
      <c r="B309" s="21">
        <v>9</v>
      </c>
    </row>
    <row r="310" spans="1:2" x14ac:dyDescent="0.25">
      <c r="A310" s="20">
        <v>91077</v>
      </c>
      <c r="B310" s="21">
        <v>9</v>
      </c>
    </row>
    <row r="311" spans="1:2" x14ac:dyDescent="0.25">
      <c r="A311" s="20">
        <v>91101</v>
      </c>
      <c r="B311" s="21">
        <v>9</v>
      </c>
    </row>
    <row r="312" spans="1:2" x14ac:dyDescent="0.25">
      <c r="A312" s="20">
        <v>91102</v>
      </c>
      <c r="B312" s="21">
        <v>9</v>
      </c>
    </row>
    <row r="313" spans="1:2" x14ac:dyDescent="0.25">
      <c r="A313" s="20">
        <v>91103</v>
      </c>
      <c r="B313" s="21">
        <v>9</v>
      </c>
    </row>
    <row r="314" spans="1:2" x14ac:dyDescent="0.25">
      <c r="A314" s="20">
        <v>91104</v>
      </c>
      <c r="B314" s="21">
        <v>9</v>
      </c>
    </row>
    <row r="315" spans="1:2" x14ac:dyDescent="0.25">
      <c r="A315" s="20">
        <v>91105</v>
      </c>
      <c r="B315" s="21">
        <v>9</v>
      </c>
    </row>
    <row r="316" spans="1:2" x14ac:dyDescent="0.25">
      <c r="A316" s="20">
        <v>91106</v>
      </c>
      <c r="B316" s="21">
        <v>9</v>
      </c>
    </row>
    <row r="317" spans="1:2" x14ac:dyDescent="0.25">
      <c r="A317" s="20">
        <v>91107</v>
      </c>
      <c r="B317" s="21">
        <v>9</v>
      </c>
    </row>
    <row r="318" spans="1:2" x14ac:dyDescent="0.25">
      <c r="A318" s="20">
        <v>91108</v>
      </c>
      <c r="B318" s="21">
        <v>9</v>
      </c>
    </row>
    <row r="319" spans="1:2" x14ac:dyDescent="0.25">
      <c r="A319" s="20">
        <v>91109</v>
      </c>
      <c r="B319" s="21">
        <v>9</v>
      </c>
    </row>
    <row r="320" spans="1:2" x14ac:dyDescent="0.25">
      <c r="A320" s="20">
        <v>91110</v>
      </c>
      <c r="B320" s="21">
        <v>9</v>
      </c>
    </row>
    <row r="321" spans="1:2" x14ac:dyDescent="0.25">
      <c r="A321" s="20">
        <v>91114</v>
      </c>
      <c r="B321" s="21">
        <v>9</v>
      </c>
    </row>
    <row r="322" spans="1:2" x14ac:dyDescent="0.25">
      <c r="A322" s="20">
        <v>91115</v>
      </c>
      <c r="B322" s="21">
        <v>9</v>
      </c>
    </row>
    <row r="323" spans="1:2" x14ac:dyDescent="0.25">
      <c r="A323" s="20">
        <v>91116</v>
      </c>
      <c r="B323" s="21">
        <v>9</v>
      </c>
    </row>
    <row r="324" spans="1:2" x14ac:dyDescent="0.25">
      <c r="A324" s="20">
        <v>91117</v>
      </c>
      <c r="B324" s="21">
        <v>9</v>
      </c>
    </row>
    <row r="325" spans="1:2" x14ac:dyDescent="0.25">
      <c r="A325" s="20">
        <v>91118</v>
      </c>
      <c r="B325" s="21">
        <v>9</v>
      </c>
    </row>
    <row r="326" spans="1:2" x14ac:dyDescent="0.25">
      <c r="A326" s="20">
        <v>91121</v>
      </c>
      <c r="B326" s="21">
        <v>9</v>
      </c>
    </row>
    <row r="327" spans="1:2" x14ac:dyDescent="0.25">
      <c r="A327" s="20">
        <v>91123</v>
      </c>
      <c r="B327" s="21">
        <v>9</v>
      </c>
    </row>
    <row r="328" spans="1:2" x14ac:dyDescent="0.25">
      <c r="A328" s="20">
        <v>91124</v>
      </c>
      <c r="B328" s="21">
        <v>9</v>
      </c>
    </row>
    <row r="329" spans="1:2" x14ac:dyDescent="0.25">
      <c r="A329" s="20">
        <v>91125</v>
      </c>
      <c r="B329" s="21">
        <v>9</v>
      </c>
    </row>
    <row r="330" spans="1:2" x14ac:dyDescent="0.25">
      <c r="A330" s="20">
        <v>91126</v>
      </c>
      <c r="B330" s="21">
        <v>9</v>
      </c>
    </row>
    <row r="331" spans="1:2" x14ac:dyDescent="0.25">
      <c r="A331" s="20">
        <v>91129</v>
      </c>
      <c r="B331" s="21">
        <v>9</v>
      </c>
    </row>
    <row r="332" spans="1:2" x14ac:dyDescent="0.25">
      <c r="A332" s="20">
        <v>91131</v>
      </c>
      <c r="B332" s="21">
        <v>9</v>
      </c>
    </row>
    <row r="333" spans="1:2" x14ac:dyDescent="0.25">
      <c r="A333" s="20">
        <v>91175</v>
      </c>
      <c r="B333" s="21">
        <v>9</v>
      </c>
    </row>
    <row r="334" spans="1:2" x14ac:dyDescent="0.25">
      <c r="A334" s="20">
        <v>91182</v>
      </c>
      <c r="B334" s="21">
        <v>9</v>
      </c>
    </row>
    <row r="335" spans="1:2" x14ac:dyDescent="0.25">
      <c r="A335" s="20">
        <v>91184</v>
      </c>
      <c r="B335" s="21">
        <v>9</v>
      </c>
    </row>
    <row r="336" spans="1:2" x14ac:dyDescent="0.25">
      <c r="A336" s="20">
        <v>91185</v>
      </c>
      <c r="B336" s="21">
        <v>9</v>
      </c>
    </row>
    <row r="337" spans="1:2" x14ac:dyDescent="0.25">
      <c r="A337" s="20">
        <v>91186</v>
      </c>
      <c r="B337" s="21">
        <v>9</v>
      </c>
    </row>
    <row r="338" spans="1:2" x14ac:dyDescent="0.25">
      <c r="A338" s="20">
        <v>91187</v>
      </c>
      <c r="B338" s="21">
        <v>9</v>
      </c>
    </row>
    <row r="339" spans="1:2" x14ac:dyDescent="0.25">
      <c r="A339" s="20">
        <v>91188</v>
      </c>
      <c r="B339" s="21">
        <v>9</v>
      </c>
    </row>
    <row r="340" spans="1:2" x14ac:dyDescent="0.25">
      <c r="A340" s="20">
        <v>91189</v>
      </c>
      <c r="B340" s="21">
        <v>9</v>
      </c>
    </row>
    <row r="341" spans="1:2" x14ac:dyDescent="0.25">
      <c r="A341" s="20">
        <v>91191</v>
      </c>
      <c r="B341" s="21">
        <v>9</v>
      </c>
    </row>
    <row r="342" spans="1:2" x14ac:dyDescent="0.25">
      <c r="A342" s="20">
        <v>91201</v>
      </c>
      <c r="B342" s="21">
        <v>9</v>
      </c>
    </row>
    <row r="343" spans="1:2" x14ac:dyDescent="0.25">
      <c r="A343" s="20">
        <v>91202</v>
      </c>
      <c r="B343" s="21">
        <v>9</v>
      </c>
    </row>
    <row r="344" spans="1:2" x14ac:dyDescent="0.25">
      <c r="A344" s="20">
        <v>91203</v>
      </c>
      <c r="B344" s="21">
        <v>9</v>
      </c>
    </row>
    <row r="345" spans="1:2" x14ac:dyDescent="0.25">
      <c r="A345" s="20">
        <v>91204</v>
      </c>
      <c r="B345" s="21">
        <v>9</v>
      </c>
    </row>
    <row r="346" spans="1:2" x14ac:dyDescent="0.25">
      <c r="A346" s="20">
        <v>91205</v>
      </c>
      <c r="B346" s="21">
        <v>9</v>
      </c>
    </row>
    <row r="347" spans="1:2" x14ac:dyDescent="0.25">
      <c r="A347" s="20">
        <v>91206</v>
      </c>
      <c r="B347" s="21">
        <v>9</v>
      </c>
    </row>
    <row r="348" spans="1:2" x14ac:dyDescent="0.25">
      <c r="A348" s="20">
        <v>91207</v>
      </c>
      <c r="B348" s="21">
        <v>9</v>
      </c>
    </row>
    <row r="349" spans="1:2" x14ac:dyDescent="0.25">
      <c r="A349" s="20">
        <v>91208</v>
      </c>
      <c r="B349" s="21">
        <v>9</v>
      </c>
    </row>
    <row r="350" spans="1:2" x14ac:dyDescent="0.25">
      <c r="A350" s="20">
        <v>91209</v>
      </c>
      <c r="B350" s="21">
        <v>9</v>
      </c>
    </row>
    <row r="351" spans="1:2" x14ac:dyDescent="0.25">
      <c r="A351" s="20">
        <v>91210</v>
      </c>
      <c r="B351" s="21">
        <v>9</v>
      </c>
    </row>
    <row r="352" spans="1:2" x14ac:dyDescent="0.25">
      <c r="A352" s="20">
        <v>91214</v>
      </c>
      <c r="B352" s="21">
        <v>9</v>
      </c>
    </row>
    <row r="353" spans="1:2" x14ac:dyDescent="0.25">
      <c r="A353" s="20">
        <v>91221</v>
      </c>
      <c r="B353" s="21">
        <v>9</v>
      </c>
    </row>
    <row r="354" spans="1:2" x14ac:dyDescent="0.25">
      <c r="A354" s="20">
        <v>91222</v>
      </c>
      <c r="B354" s="21">
        <v>9</v>
      </c>
    </row>
    <row r="355" spans="1:2" x14ac:dyDescent="0.25">
      <c r="A355" s="20">
        <v>91224</v>
      </c>
      <c r="B355" s="21">
        <v>9</v>
      </c>
    </row>
    <row r="356" spans="1:2" x14ac:dyDescent="0.25">
      <c r="A356" s="20">
        <v>91225</v>
      </c>
      <c r="B356" s="21">
        <v>9</v>
      </c>
    </row>
    <row r="357" spans="1:2" x14ac:dyDescent="0.25">
      <c r="A357" s="20">
        <v>91226</v>
      </c>
      <c r="B357" s="21">
        <v>9</v>
      </c>
    </row>
    <row r="358" spans="1:2" x14ac:dyDescent="0.25">
      <c r="A358" s="20">
        <v>91301</v>
      </c>
      <c r="B358" s="21">
        <v>9</v>
      </c>
    </row>
    <row r="359" spans="1:2" x14ac:dyDescent="0.25">
      <c r="A359" s="20">
        <v>91302</v>
      </c>
      <c r="B359" s="21">
        <v>9</v>
      </c>
    </row>
    <row r="360" spans="1:2" x14ac:dyDescent="0.25">
      <c r="A360" s="20">
        <v>91303</v>
      </c>
      <c r="B360" s="21">
        <v>9</v>
      </c>
    </row>
    <row r="361" spans="1:2" x14ac:dyDescent="0.25">
      <c r="A361" s="20">
        <v>91304</v>
      </c>
      <c r="B361" s="21">
        <v>9</v>
      </c>
    </row>
    <row r="362" spans="1:2" x14ac:dyDescent="0.25">
      <c r="A362" s="20">
        <v>91305</v>
      </c>
      <c r="B362" s="21">
        <v>9</v>
      </c>
    </row>
    <row r="363" spans="1:2" x14ac:dyDescent="0.25">
      <c r="A363" s="20">
        <v>91306</v>
      </c>
      <c r="B363" s="21">
        <v>9</v>
      </c>
    </row>
    <row r="364" spans="1:2" x14ac:dyDescent="0.25">
      <c r="A364" s="20">
        <v>91307</v>
      </c>
      <c r="B364" s="21">
        <v>9</v>
      </c>
    </row>
    <row r="365" spans="1:2" x14ac:dyDescent="0.25">
      <c r="A365" s="20">
        <v>91308</v>
      </c>
      <c r="B365" s="21">
        <v>9</v>
      </c>
    </row>
    <row r="366" spans="1:2" x14ac:dyDescent="0.25">
      <c r="A366" s="20">
        <v>91309</v>
      </c>
      <c r="B366" s="21">
        <v>9</v>
      </c>
    </row>
    <row r="367" spans="1:2" x14ac:dyDescent="0.25">
      <c r="A367" s="20">
        <v>91310</v>
      </c>
      <c r="B367" s="21">
        <v>9</v>
      </c>
    </row>
    <row r="368" spans="1:2" x14ac:dyDescent="0.25">
      <c r="A368" s="20">
        <v>91311</v>
      </c>
      <c r="B368" s="21">
        <v>9</v>
      </c>
    </row>
    <row r="369" spans="1:2" x14ac:dyDescent="0.25">
      <c r="A369" s="20">
        <v>91312</v>
      </c>
      <c r="B369" s="21">
        <v>9</v>
      </c>
    </row>
    <row r="370" spans="1:2" x14ac:dyDescent="0.25">
      <c r="A370" s="20">
        <v>91313</v>
      </c>
      <c r="B370" s="21">
        <v>9</v>
      </c>
    </row>
    <row r="371" spans="1:2" x14ac:dyDescent="0.25">
      <c r="A371" s="20">
        <v>91316</v>
      </c>
      <c r="B371" s="21">
        <v>9</v>
      </c>
    </row>
    <row r="372" spans="1:2" x14ac:dyDescent="0.25">
      <c r="A372" s="20">
        <v>91319</v>
      </c>
      <c r="B372" s="21">
        <v>9</v>
      </c>
    </row>
    <row r="373" spans="1:2" x14ac:dyDescent="0.25">
      <c r="A373" s="20">
        <v>91320</v>
      </c>
      <c r="B373" s="21">
        <v>6</v>
      </c>
    </row>
    <row r="374" spans="1:2" x14ac:dyDescent="0.25">
      <c r="A374" s="20">
        <v>91321</v>
      </c>
      <c r="B374" s="21">
        <v>9</v>
      </c>
    </row>
    <row r="375" spans="1:2" x14ac:dyDescent="0.25">
      <c r="A375" s="20">
        <v>91322</v>
      </c>
      <c r="B375" s="21">
        <v>9</v>
      </c>
    </row>
    <row r="376" spans="1:2" x14ac:dyDescent="0.25">
      <c r="A376" s="20">
        <v>91324</v>
      </c>
      <c r="B376" s="21">
        <v>9</v>
      </c>
    </row>
    <row r="377" spans="1:2" x14ac:dyDescent="0.25">
      <c r="A377" s="20">
        <v>91325</v>
      </c>
      <c r="B377" s="21">
        <v>9</v>
      </c>
    </row>
    <row r="378" spans="1:2" x14ac:dyDescent="0.25">
      <c r="A378" s="20">
        <v>91326</v>
      </c>
      <c r="B378" s="21">
        <v>9</v>
      </c>
    </row>
    <row r="379" spans="1:2" x14ac:dyDescent="0.25">
      <c r="A379" s="20">
        <v>91327</v>
      </c>
      <c r="B379" s="21">
        <v>9</v>
      </c>
    </row>
    <row r="380" spans="1:2" x14ac:dyDescent="0.25">
      <c r="A380" s="20">
        <v>91328</v>
      </c>
      <c r="B380" s="21">
        <v>9</v>
      </c>
    </row>
    <row r="381" spans="1:2" x14ac:dyDescent="0.25">
      <c r="A381" s="20">
        <v>91329</v>
      </c>
      <c r="B381" s="21">
        <v>9</v>
      </c>
    </row>
    <row r="382" spans="1:2" x14ac:dyDescent="0.25">
      <c r="A382" s="20">
        <v>91330</v>
      </c>
      <c r="B382" s="21">
        <v>9</v>
      </c>
    </row>
    <row r="383" spans="1:2" x14ac:dyDescent="0.25">
      <c r="A383" s="20">
        <v>91331</v>
      </c>
      <c r="B383" s="21">
        <v>9</v>
      </c>
    </row>
    <row r="384" spans="1:2" x14ac:dyDescent="0.25">
      <c r="A384" s="20">
        <v>91333</v>
      </c>
      <c r="B384" s="21">
        <v>9</v>
      </c>
    </row>
    <row r="385" spans="1:2" x14ac:dyDescent="0.25">
      <c r="A385" s="20">
        <v>91334</v>
      </c>
      <c r="B385" s="21">
        <v>9</v>
      </c>
    </row>
    <row r="386" spans="1:2" x14ac:dyDescent="0.25">
      <c r="A386" s="20">
        <v>91335</v>
      </c>
      <c r="B386" s="21">
        <v>9</v>
      </c>
    </row>
    <row r="387" spans="1:2" x14ac:dyDescent="0.25">
      <c r="A387" s="20">
        <v>91337</v>
      </c>
      <c r="B387" s="21">
        <v>9</v>
      </c>
    </row>
    <row r="388" spans="1:2" x14ac:dyDescent="0.25">
      <c r="A388" s="20">
        <v>91340</v>
      </c>
      <c r="B388" s="21">
        <v>9</v>
      </c>
    </row>
    <row r="389" spans="1:2" x14ac:dyDescent="0.25">
      <c r="A389" s="20">
        <v>91341</v>
      </c>
      <c r="B389" s="21">
        <v>9</v>
      </c>
    </row>
    <row r="390" spans="1:2" x14ac:dyDescent="0.25">
      <c r="A390" s="20">
        <v>91342</v>
      </c>
      <c r="B390" s="21">
        <v>9</v>
      </c>
    </row>
    <row r="391" spans="1:2" x14ac:dyDescent="0.25">
      <c r="A391" s="20">
        <v>91343</v>
      </c>
      <c r="B391" s="21">
        <v>9</v>
      </c>
    </row>
    <row r="392" spans="1:2" x14ac:dyDescent="0.25">
      <c r="A392" s="20">
        <v>91344</v>
      </c>
      <c r="B392" s="21">
        <v>9</v>
      </c>
    </row>
    <row r="393" spans="1:2" x14ac:dyDescent="0.25">
      <c r="A393" s="20">
        <v>91345</v>
      </c>
      <c r="B393" s="21">
        <v>9</v>
      </c>
    </row>
    <row r="394" spans="1:2" x14ac:dyDescent="0.25">
      <c r="A394" s="20">
        <v>91346</v>
      </c>
      <c r="B394" s="21">
        <v>9</v>
      </c>
    </row>
    <row r="395" spans="1:2" x14ac:dyDescent="0.25">
      <c r="A395" s="20">
        <v>91350</v>
      </c>
      <c r="B395" s="21">
        <v>9</v>
      </c>
    </row>
    <row r="396" spans="1:2" x14ac:dyDescent="0.25">
      <c r="A396" s="20">
        <v>91351</v>
      </c>
      <c r="B396" s="21">
        <v>9</v>
      </c>
    </row>
    <row r="397" spans="1:2" x14ac:dyDescent="0.25">
      <c r="A397" s="20">
        <v>91352</v>
      </c>
      <c r="B397" s="21">
        <v>9</v>
      </c>
    </row>
    <row r="398" spans="1:2" x14ac:dyDescent="0.25">
      <c r="A398" s="20">
        <v>91353</v>
      </c>
      <c r="B398" s="21">
        <v>9</v>
      </c>
    </row>
    <row r="399" spans="1:2" x14ac:dyDescent="0.25">
      <c r="A399" s="20">
        <v>91354</v>
      </c>
      <c r="B399" s="21">
        <v>9</v>
      </c>
    </row>
    <row r="400" spans="1:2" x14ac:dyDescent="0.25">
      <c r="A400" s="20">
        <v>91355</v>
      </c>
      <c r="B400" s="21">
        <v>9</v>
      </c>
    </row>
    <row r="401" spans="1:2" x14ac:dyDescent="0.25">
      <c r="A401" s="20">
        <v>91356</v>
      </c>
      <c r="B401" s="21">
        <v>9</v>
      </c>
    </row>
    <row r="402" spans="1:2" x14ac:dyDescent="0.25">
      <c r="A402" s="20">
        <v>91357</v>
      </c>
      <c r="B402" s="21">
        <v>9</v>
      </c>
    </row>
    <row r="403" spans="1:2" x14ac:dyDescent="0.25">
      <c r="A403" s="20">
        <v>91358</v>
      </c>
      <c r="B403" s="21">
        <v>9</v>
      </c>
    </row>
    <row r="404" spans="1:2" x14ac:dyDescent="0.25">
      <c r="A404" s="20">
        <v>91359</v>
      </c>
      <c r="B404" s="21">
        <v>9</v>
      </c>
    </row>
    <row r="405" spans="1:2" x14ac:dyDescent="0.25">
      <c r="A405" s="20">
        <v>91360</v>
      </c>
      <c r="B405" s="21">
        <v>9</v>
      </c>
    </row>
    <row r="406" spans="1:2" x14ac:dyDescent="0.25">
      <c r="A406" s="20">
        <v>91361</v>
      </c>
      <c r="B406" s="21">
        <v>9</v>
      </c>
    </row>
    <row r="407" spans="1:2" x14ac:dyDescent="0.25">
      <c r="A407" s="20">
        <v>91362</v>
      </c>
      <c r="B407" s="21">
        <v>9</v>
      </c>
    </row>
    <row r="408" spans="1:2" x14ac:dyDescent="0.25">
      <c r="A408" s="20">
        <v>91363</v>
      </c>
      <c r="B408" s="21">
        <v>9</v>
      </c>
    </row>
    <row r="409" spans="1:2" x14ac:dyDescent="0.25">
      <c r="A409" s="20">
        <v>91364</v>
      </c>
      <c r="B409" s="21">
        <v>9</v>
      </c>
    </row>
    <row r="410" spans="1:2" x14ac:dyDescent="0.25">
      <c r="A410" s="20">
        <v>91365</v>
      </c>
      <c r="B410" s="21">
        <v>9</v>
      </c>
    </row>
    <row r="411" spans="1:2" x14ac:dyDescent="0.25">
      <c r="A411" s="20">
        <v>91367</v>
      </c>
      <c r="B411" s="21">
        <v>9</v>
      </c>
    </row>
    <row r="412" spans="1:2" x14ac:dyDescent="0.25">
      <c r="A412" s="20">
        <v>91371</v>
      </c>
      <c r="B412" s="21">
        <v>9</v>
      </c>
    </row>
    <row r="413" spans="1:2" x14ac:dyDescent="0.25">
      <c r="A413" s="20">
        <v>91372</v>
      </c>
      <c r="B413" s="21">
        <v>9</v>
      </c>
    </row>
    <row r="414" spans="1:2" x14ac:dyDescent="0.25">
      <c r="A414" s="20">
        <v>91376</v>
      </c>
      <c r="B414" s="21">
        <v>9</v>
      </c>
    </row>
    <row r="415" spans="1:2" x14ac:dyDescent="0.25">
      <c r="A415" s="20">
        <v>91377</v>
      </c>
      <c r="B415" s="21">
        <v>9</v>
      </c>
    </row>
    <row r="416" spans="1:2" x14ac:dyDescent="0.25">
      <c r="A416" s="20">
        <v>91380</v>
      </c>
      <c r="B416" s="21">
        <v>16</v>
      </c>
    </row>
    <row r="417" spans="1:2" x14ac:dyDescent="0.25">
      <c r="A417" s="20">
        <v>91381</v>
      </c>
      <c r="B417" s="21">
        <v>9</v>
      </c>
    </row>
    <row r="418" spans="1:2" x14ac:dyDescent="0.25">
      <c r="A418" s="20">
        <v>91382</v>
      </c>
      <c r="B418" s="21">
        <v>9</v>
      </c>
    </row>
    <row r="419" spans="1:2" x14ac:dyDescent="0.25">
      <c r="A419" s="20">
        <v>91383</v>
      </c>
      <c r="B419" s="21">
        <v>9</v>
      </c>
    </row>
    <row r="420" spans="1:2" x14ac:dyDescent="0.25">
      <c r="A420" s="20">
        <v>91384</v>
      </c>
      <c r="B420" s="21">
        <v>9</v>
      </c>
    </row>
    <row r="421" spans="1:2" x14ac:dyDescent="0.25">
      <c r="A421" s="20">
        <v>91385</v>
      </c>
      <c r="B421" s="21">
        <v>9</v>
      </c>
    </row>
    <row r="422" spans="1:2" x14ac:dyDescent="0.25">
      <c r="A422" s="20">
        <v>91386</v>
      </c>
      <c r="B422" s="21">
        <v>9</v>
      </c>
    </row>
    <row r="423" spans="1:2" x14ac:dyDescent="0.25">
      <c r="A423" s="20">
        <v>91388</v>
      </c>
      <c r="B423" s="21">
        <v>9</v>
      </c>
    </row>
    <row r="424" spans="1:2" x14ac:dyDescent="0.25">
      <c r="A424" s="20">
        <v>91390</v>
      </c>
      <c r="B424" s="21">
        <v>16</v>
      </c>
    </row>
    <row r="425" spans="1:2" x14ac:dyDescent="0.25">
      <c r="A425" s="20">
        <v>91392</v>
      </c>
      <c r="B425" s="21">
        <v>9</v>
      </c>
    </row>
    <row r="426" spans="1:2" x14ac:dyDescent="0.25">
      <c r="A426" s="20">
        <v>91393</v>
      </c>
      <c r="B426" s="21">
        <v>9</v>
      </c>
    </row>
    <row r="427" spans="1:2" x14ac:dyDescent="0.25">
      <c r="A427" s="20">
        <v>91394</v>
      </c>
      <c r="B427" s="21">
        <v>9</v>
      </c>
    </row>
    <row r="428" spans="1:2" x14ac:dyDescent="0.25">
      <c r="A428" s="20">
        <v>91395</v>
      </c>
      <c r="B428" s="21">
        <v>9</v>
      </c>
    </row>
    <row r="429" spans="1:2" x14ac:dyDescent="0.25">
      <c r="A429" s="20">
        <v>91396</v>
      </c>
      <c r="B429" s="21">
        <v>9</v>
      </c>
    </row>
    <row r="430" spans="1:2" x14ac:dyDescent="0.25">
      <c r="A430" s="20">
        <v>91399</v>
      </c>
      <c r="B430" s="21">
        <v>9</v>
      </c>
    </row>
    <row r="431" spans="1:2" x14ac:dyDescent="0.25">
      <c r="A431" s="20">
        <v>91401</v>
      </c>
      <c r="B431" s="21">
        <v>9</v>
      </c>
    </row>
    <row r="432" spans="1:2" x14ac:dyDescent="0.25">
      <c r="A432" s="20">
        <v>91402</v>
      </c>
      <c r="B432" s="21">
        <v>9</v>
      </c>
    </row>
    <row r="433" spans="1:2" x14ac:dyDescent="0.25">
      <c r="A433" s="20">
        <v>91403</v>
      </c>
      <c r="B433" s="21">
        <v>9</v>
      </c>
    </row>
    <row r="434" spans="1:2" x14ac:dyDescent="0.25">
      <c r="A434" s="20">
        <v>91404</v>
      </c>
      <c r="B434" s="21">
        <v>9</v>
      </c>
    </row>
    <row r="435" spans="1:2" x14ac:dyDescent="0.25">
      <c r="A435" s="20">
        <v>91405</v>
      </c>
      <c r="B435" s="21">
        <v>9</v>
      </c>
    </row>
    <row r="436" spans="1:2" x14ac:dyDescent="0.25">
      <c r="A436" s="20">
        <v>91406</v>
      </c>
      <c r="B436" s="21">
        <v>9</v>
      </c>
    </row>
    <row r="437" spans="1:2" x14ac:dyDescent="0.25">
      <c r="A437" s="20">
        <v>91407</v>
      </c>
      <c r="B437" s="21">
        <v>9</v>
      </c>
    </row>
    <row r="438" spans="1:2" x14ac:dyDescent="0.25">
      <c r="A438" s="20">
        <v>91408</v>
      </c>
      <c r="B438" s="21">
        <v>9</v>
      </c>
    </row>
    <row r="439" spans="1:2" x14ac:dyDescent="0.25">
      <c r="A439" s="20">
        <v>91409</v>
      </c>
      <c r="B439" s="21">
        <v>9</v>
      </c>
    </row>
    <row r="440" spans="1:2" x14ac:dyDescent="0.25">
      <c r="A440" s="20">
        <v>91410</v>
      </c>
      <c r="B440" s="21">
        <v>9</v>
      </c>
    </row>
    <row r="441" spans="1:2" x14ac:dyDescent="0.25">
      <c r="A441" s="20">
        <v>91411</v>
      </c>
      <c r="B441" s="21">
        <v>9</v>
      </c>
    </row>
    <row r="442" spans="1:2" x14ac:dyDescent="0.25">
      <c r="A442" s="20">
        <v>91412</v>
      </c>
      <c r="B442" s="21">
        <v>9</v>
      </c>
    </row>
    <row r="443" spans="1:2" x14ac:dyDescent="0.25">
      <c r="A443" s="20">
        <v>91413</v>
      </c>
      <c r="B443" s="21">
        <v>9</v>
      </c>
    </row>
    <row r="444" spans="1:2" x14ac:dyDescent="0.25">
      <c r="A444" s="20">
        <v>91416</v>
      </c>
      <c r="B444" s="21">
        <v>9</v>
      </c>
    </row>
    <row r="445" spans="1:2" x14ac:dyDescent="0.25">
      <c r="A445" s="20">
        <v>91423</v>
      </c>
      <c r="B445" s="21">
        <v>9</v>
      </c>
    </row>
    <row r="446" spans="1:2" x14ac:dyDescent="0.25">
      <c r="A446" s="20">
        <v>91426</v>
      </c>
      <c r="B446" s="21">
        <v>9</v>
      </c>
    </row>
    <row r="447" spans="1:2" x14ac:dyDescent="0.25">
      <c r="A447" s="20">
        <v>91436</v>
      </c>
      <c r="B447" s="21">
        <v>9</v>
      </c>
    </row>
    <row r="448" spans="1:2" x14ac:dyDescent="0.25">
      <c r="A448" s="20">
        <v>91470</v>
      </c>
      <c r="B448" s="21">
        <v>9</v>
      </c>
    </row>
    <row r="449" spans="1:2" x14ac:dyDescent="0.25">
      <c r="A449" s="20">
        <v>91482</v>
      </c>
      <c r="B449" s="21">
        <v>9</v>
      </c>
    </row>
    <row r="450" spans="1:2" x14ac:dyDescent="0.25">
      <c r="A450" s="20">
        <v>91495</v>
      </c>
      <c r="B450" s="21">
        <v>9</v>
      </c>
    </row>
    <row r="451" spans="1:2" x14ac:dyDescent="0.25">
      <c r="A451" s="20">
        <v>91496</v>
      </c>
      <c r="B451" s="21">
        <v>9</v>
      </c>
    </row>
    <row r="452" spans="1:2" x14ac:dyDescent="0.25">
      <c r="A452" s="20">
        <v>91497</v>
      </c>
      <c r="B452" s="21">
        <v>9</v>
      </c>
    </row>
    <row r="453" spans="1:2" x14ac:dyDescent="0.25">
      <c r="A453" s="20">
        <v>91499</v>
      </c>
      <c r="B453" s="21">
        <v>9</v>
      </c>
    </row>
    <row r="454" spans="1:2" x14ac:dyDescent="0.25">
      <c r="A454" s="20">
        <v>91501</v>
      </c>
      <c r="B454" s="21">
        <v>9</v>
      </c>
    </row>
    <row r="455" spans="1:2" x14ac:dyDescent="0.25">
      <c r="A455" s="20">
        <v>91502</v>
      </c>
      <c r="B455" s="21">
        <v>9</v>
      </c>
    </row>
    <row r="456" spans="1:2" x14ac:dyDescent="0.25">
      <c r="A456" s="20">
        <v>91503</v>
      </c>
      <c r="B456" s="21">
        <v>9</v>
      </c>
    </row>
    <row r="457" spans="1:2" x14ac:dyDescent="0.25">
      <c r="A457" s="20">
        <v>91504</v>
      </c>
      <c r="B457" s="21">
        <v>9</v>
      </c>
    </row>
    <row r="458" spans="1:2" x14ac:dyDescent="0.25">
      <c r="A458" s="20">
        <v>91505</v>
      </c>
      <c r="B458" s="21">
        <v>9</v>
      </c>
    </row>
    <row r="459" spans="1:2" x14ac:dyDescent="0.25">
      <c r="A459" s="20">
        <v>91506</v>
      </c>
      <c r="B459" s="21">
        <v>9</v>
      </c>
    </row>
    <row r="460" spans="1:2" x14ac:dyDescent="0.25">
      <c r="A460" s="20">
        <v>91507</v>
      </c>
      <c r="B460" s="21">
        <v>9</v>
      </c>
    </row>
    <row r="461" spans="1:2" x14ac:dyDescent="0.25">
      <c r="A461" s="20">
        <v>91508</v>
      </c>
      <c r="B461" s="21">
        <v>9</v>
      </c>
    </row>
    <row r="462" spans="1:2" x14ac:dyDescent="0.25">
      <c r="A462" s="20">
        <v>91510</v>
      </c>
      <c r="B462" s="21">
        <v>9</v>
      </c>
    </row>
    <row r="463" spans="1:2" x14ac:dyDescent="0.25">
      <c r="A463" s="20">
        <v>91521</v>
      </c>
      <c r="B463" s="21">
        <v>9</v>
      </c>
    </row>
    <row r="464" spans="1:2" x14ac:dyDescent="0.25">
      <c r="A464" s="20">
        <v>91522</v>
      </c>
      <c r="B464" s="21">
        <v>9</v>
      </c>
    </row>
    <row r="465" spans="1:2" x14ac:dyDescent="0.25">
      <c r="A465" s="20">
        <v>91523</v>
      </c>
      <c r="B465" s="21">
        <v>9</v>
      </c>
    </row>
    <row r="466" spans="1:2" x14ac:dyDescent="0.25">
      <c r="A466" s="20">
        <v>91526</v>
      </c>
      <c r="B466" s="21">
        <v>9</v>
      </c>
    </row>
    <row r="467" spans="1:2" x14ac:dyDescent="0.25">
      <c r="A467" s="20">
        <v>91601</v>
      </c>
      <c r="B467" s="21">
        <v>9</v>
      </c>
    </row>
    <row r="468" spans="1:2" x14ac:dyDescent="0.25">
      <c r="A468" s="20">
        <v>91602</v>
      </c>
      <c r="B468" s="21">
        <v>9</v>
      </c>
    </row>
    <row r="469" spans="1:2" x14ac:dyDescent="0.25">
      <c r="A469" s="20">
        <v>91603</v>
      </c>
      <c r="B469" s="21">
        <v>9</v>
      </c>
    </row>
    <row r="470" spans="1:2" x14ac:dyDescent="0.25">
      <c r="A470" s="20">
        <v>91604</v>
      </c>
      <c r="B470" s="21">
        <v>9</v>
      </c>
    </row>
    <row r="471" spans="1:2" x14ac:dyDescent="0.25">
      <c r="A471" s="20">
        <v>91605</v>
      </c>
      <c r="B471" s="21">
        <v>9</v>
      </c>
    </row>
    <row r="472" spans="1:2" x14ac:dyDescent="0.25">
      <c r="A472" s="20">
        <v>91606</v>
      </c>
      <c r="B472" s="21">
        <v>9</v>
      </c>
    </row>
    <row r="473" spans="1:2" x14ac:dyDescent="0.25">
      <c r="A473" s="20">
        <v>91607</v>
      </c>
      <c r="B473" s="21">
        <v>9</v>
      </c>
    </row>
    <row r="474" spans="1:2" x14ac:dyDescent="0.25">
      <c r="A474" s="20">
        <v>91608</v>
      </c>
      <c r="B474" s="21">
        <v>9</v>
      </c>
    </row>
    <row r="475" spans="1:2" x14ac:dyDescent="0.25">
      <c r="A475" s="20">
        <v>91609</v>
      </c>
      <c r="B475" s="21">
        <v>9</v>
      </c>
    </row>
    <row r="476" spans="1:2" x14ac:dyDescent="0.25">
      <c r="A476" s="20">
        <v>91610</v>
      </c>
      <c r="B476" s="21">
        <v>9</v>
      </c>
    </row>
    <row r="477" spans="1:2" x14ac:dyDescent="0.25">
      <c r="A477" s="20">
        <v>91611</v>
      </c>
      <c r="B477" s="21">
        <v>9</v>
      </c>
    </row>
    <row r="478" spans="1:2" x14ac:dyDescent="0.25">
      <c r="A478" s="20">
        <v>91612</v>
      </c>
      <c r="B478" s="21">
        <v>9</v>
      </c>
    </row>
    <row r="479" spans="1:2" x14ac:dyDescent="0.25">
      <c r="A479" s="20">
        <v>91614</v>
      </c>
      <c r="B479" s="21">
        <v>9</v>
      </c>
    </row>
    <row r="480" spans="1:2" x14ac:dyDescent="0.25">
      <c r="A480" s="20">
        <v>91615</v>
      </c>
      <c r="B480" s="21">
        <v>9</v>
      </c>
    </row>
    <row r="481" spans="1:2" x14ac:dyDescent="0.25">
      <c r="A481" s="20">
        <v>91616</v>
      </c>
      <c r="B481" s="21">
        <v>9</v>
      </c>
    </row>
    <row r="482" spans="1:2" x14ac:dyDescent="0.25">
      <c r="A482" s="20">
        <v>91617</v>
      </c>
      <c r="B482" s="21">
        <v>9</v>
      </c>
    </row>
    <row r="483" spans="1:2" x14ac:dyDescent="0.25">
      <c r="A483" s="20">
        <v>91618</v>
      </c>
      <c r="B483" s="21">
        <v>9</v>
      </c>
    </row>
    <row r="484" spans="1:2" x14ac:dyDescent="0.25">
      <c r="A484" s="20">
        <v>91701</v>
      </c>
      <c r="B484" s="21">
        <v>10</v>
      </c>
    </row>
    <row r="485" spans="1:2" x14ac:dyDescent="0.25">
      <c r="A485" s="20">
        <v>91702</v>
      </c>
      <c r="B485" s="21">
        <v>9</v>
      </c>
    </row>
    <row r="486" spans="1:2" x14ac:dyDescent="0.25">
      <c r="A486" s="20">
        <v>91706</v>
      </c>
      <c r="B486" s="21">
        <v>9</v>
      </c>
    </row>
    <row r="487" spans="1:2" x14ac:dyDescent="0.25">
      <c r="A487" s="20">
        <v>91708</v>
      </c>
      <c r="B487" s="21">
        <v>10</v>
      </c>
    </row>
    <row r="488" spans="1:2" x14ac:dyDescent="0.25">
      <c r="A488" s="20">
        <v>91709</v>
      </c>
      <c r="B488" s="21">
        <v>10</v>
      </c>
    </row>
    <row r="489" spans="1:2" x14ac:dyDescent="0.25">
      <c r="A489" s="20">
        <v>91710</v>
      </c>
      <c r="B489" s="21">
        <v>10</v>
      </c>
    </row>
    <row r="490" spans="1:2" x14ac:dyDescent="0.25">
      <c r="A490" s="20">
        <v>91711</v>
      </c>
      <c r="B490" s="21">
        <v>9</v>
      </c>
    </row>
    <row r="491" spans="1:2" x14ac:dyDescent="0.25">
      <c r="A491" s="20">
        <v>91714</v>
      </c>
      <c r="B491" s="21">
        <v>9</v>
      </c>
    </row>
    <row r="492" spans="1:2" x14ac:dyDescent="0.25">
      <c r="A492" s="20">
        <v>91715</v>
      </c>
      <c r="B492" s="21">
        <v>9</v>
      </c>
    </row>
    <row r="493" spans="1:2" x14ac:dyDescent="0.25">
      <c r="A493" s="20">
        <v>91716</v>
      </c>
      <c r="B493" s="21">
        <v>9</v>
      </c>
    </row>
    <row r="494" spans="1:2" x14ac:dyDescent="0.25">
      <c r="A494" s="20">
        <v>91718</v>
      </c>
      <c r="B494" s="21">
        <v>10</v>
      </c>
    </row>
    <row r="495" spans="1:2" x14ac:dyDescent="0.25">
      <c r="A495" s="20">
        <v>91719</v>
      </c>
      <c r="B495" s="21">
        <v>10</v>
      </c>
    </row>
    <row r="496" spans="1:2" x14ac:dyDescent="0.25">
      <c r="A496" s="20">
        <v>91720</v>
      </c>
      <c r="B496" s="21">
        <v>10</v>
      </c>
    </row>
    <row r="497" spans="1:2" x14ac:dyDescent="0.25">
      <c r="A497" s="20">
        <v>91722</v>
      </c>
      <c r="B497" s="21">
        <v>9</v>
      </c>
    </row>
    <row r="498" spans="1:2" x14ac:dyDescent="0.25">
      <c r="A498" s="20">
        <v>91723</v>
      </c>
      <c r="B498" s="21">
        <v>9</v>
      </c>
    </row>
    <row r="499" spans="1:2" x14ac:dyDescent="0.25">
      <c r="A499" s="20">
        <v>91724</v>
      </c>
      <c r="B499" s="21">
        <v>9</v>
      </c>
    </row>
    <row r="500" spans="1:2" x14ac:dyDescent="0.25">
      <c r="A500" s="20">
        <v>91729</v>
      </c>
      <c r="B500" s="21">
        <v>10</v>
      </c>
    </row>
    <row r="501" spans="1:2" x14ac:dyDescent="0.25">
      <c r="A501" s="20">
        <v>91730</v>
      </c>
      <c r="B501" s="21">
        <v>10</v>
      </c>
    </row>
    <row r="502" spans="1:2" x14ac:dyDescent="0.25">
      <c r="A502" s="20">
        <v>91731</v>
      </c>
      <c r="B502" s="21">
        <v>9</v>
      </c>
    </row>
    <row r="503" spans="1:2" x14ac:dyDescent="0.25">
      <c r="A503" s="20">
        <v>91732</v>
      </c>
      <c r="B503" s="21">
        <v>9</v>
      </c>
    </row>
    <row r="504" spans="1:2" x14ac:dyDescent="0.25">
      <c r="A504" s="20">
        <v>91733</v>
      </c>
      <c r="B504" s="21">
        <v>9</v>
      </c>
    </row>
    <row r="505" spans="1:2" x14ac:dyDescent="0.25">
      <c r="A505" s="20">
        <v>91734</v>
      </c>
      <c r="B505" s="21">
        <v>9</v>
      </c>
    </row>
    <row r="506" spans="1:2" x14ac:dyDescent="0.25">
      <c r="A506" s="20">
        <v>91735</v>
      </c>
      <c r="B506" s="21">
        <v>9</v>
      </c>
    </row>
    <row r="507" spans="1:2" x14ac:dyDescent="0.25">
      <c r="A507" s="20">
        <v>91737</v>
      </c>
      <c r="B507" s="21">
        <v>10</v>
      </c>
    </row>
    <row r="508" spans="1:2" x14ac:dyDescent="0.25">
      <c r="A508" s="20">
        <v>91739</v>
      </c>
      <c r="B508" s="21">
        <v>10</v>
      </c>
    </row>
    <row r="509" spans="1:2" x14ac:dyDescent="0.25">
      <c r="A509" s="20">
        <v>91740</v>
      </c>
      <c r="B509" s="21">
        <v>9</v>
      </c>
    </row>
    <row r="510" spans="1:2" x14ac:dyDescent="0.25">
      <c r="A510" s="20">
        <v>91741</v>
      </c>
      <c r="B510" s="21">
        <v>9</v>
      </c>
    </row>
    <row r="511" spans="1:2" x14ac:dyDescent="0.25">
      <c r="A511" s="20">
        <v>91743</v>
      </c>
      <c r="B511" s="21">
        <v>10</v>
      </c>
    </row>
    <row r="512" spans="1:2" x14ac:dyDescent="0.25">
      <c r="A512" s="20">
        <v>91744</v>
      </c>
      <c r="B512" s="21">
        <v>9</v>
      </c>
    </row>
    <row r="513" spans="1:2" x14ac:dyDescent="0.25">
      <c r="A513" s="20">
        <v>91745</v>
      </c>
      <c r="B513" s="21">
        <v>9</v>
      </c>
    </row>
    <row r="514" spans="1:2" x14ac:dyDescent="0.25">
      <c r="A514" s="20">
        <v>91746</v>
      </c>
      <c r="B514" s="21">
        <v>9</v>
      </c>
    </row>
    <row r="515" spans="1:2" x14ac:dyDescent="0.25">
      <c r="A515" s="20">
        <v>91747</v>
      </c>
      <c r="B515" s="21">
        <v>9</v>
      </c>
    </row>
    <row r="516" spans="1:2" x14ac:dyDescent="0.25">
      <c r="A516" s="20">
        <v>91748</v>
      </c>
      <c r="B516" s="21">
        <v>9</v>
      </c>
    </row>
    <row r="517" spans="1:2" x14ac:dyDescent="0.25">
      <c r="A517" s="20">
        <v>91749</v>
      </c>
      <c r="B517" s="21">
        <v>9</v>
      </c>
    </row>
    <row r="518" spans="1:2" x14ac:dyDescent="0.25">
      <c r="A518" s="20">
        <v>91750</v>
      </c>
      <c r="B518" s="21">
        <v>9</v>
      </c>
    </row>
    <row r="519" spans="1:2" x14ac:dyDescent="0.25">
      <c r="A519" s="20">
        <v>91752</v>
      </c>
      <c r="B519" s="21">
        <v>10</v>
      </c>
    </row>
    <row r="520" spans="1:2" x14ac:dyDescent="0.25">
      <c r="A520" s="20">
        <v>91754</v>
      </c>
      <c r="B520" s="21">
        <v>9</v>
      </c>
    </row>
    <row r="521" spans="1:2" x14ac:dyDescent="0.25">
      <c r="A521" s="20">
        <v>91755</v>
      </c>
      <c r="B521" s="21">
        <v>9</v>
      </c>
    </row>
    <row r="522" spans="1:2" x14ac:dyDescent="0.25">
      <c r="A522" s="20">
        <v>91756</v>
      </c>
      <c r="B522" s="21">
        <v>9</v>
      </c>
    </row>
    <row r="523" spans="1:2" x14ac:dyDescent="0.25">
      <c r="A523" s="20">
        <v>91758</v>
      </c>
      <c r="B523" s="21">
        <v>10</v>
      </c>
    </row>
    <row r="524" spans="1:2" x14ac:dyDescent="0.25">
      <c r="A524" s="20">
        <v>91759</v>
      </c>
      <c r="B524" s="21">
        <v>16</v>
      </c>
    </row>
    <row r="525" spans="1:2" x14ac:dyDescent="0.25">
      <c r="A525" s="20">
        <v>91760</v>
      </c>
      <c r="B525" s="21">
        <v>10</v>
      </c>
    </row>
    <row r="526" spans="1:2" x14ac:dyDescent="0.25">
      <c r="A526" s="20">
        <v>91761</v>
      </c>
      <c r="B526" s="21">
        <v>10</v>
      </c>
    </row>
    <row r="527" spans="1:2" x14ac:dyDescent="0.25">
      <c r="A527" s="20">
        <v>91762</v>
      </c>
      <c r="B527" s="21">
        <v>10</v>
      </c>
    </row>
    <row r="528" spans="1:2" x14ac:dyDescent="0.25">
      <c r="A528" s="20">
        <v>91763</v>
      </c>
      <c r="B528" s="21">
        <v>10</v>
      </c>
    </row>
    <row r="529" spans="1:2" x14ac:dyDescent="0.25">
      <c r="A529" s="20">
        <v>91764</v>
      </c>
      <c r="B529" s="21">
        <v>10</v>
      </c>
    </row>
    <row r="530" spans="1:2" x14ac:dyDescent="0.25">
      <c r="A530" s="20">
        <v>91765</v>
      </c>
      <c r="B530" s="21">
        <v>9</v>
      </c>
    </row>
    <row r="531" spans="1:2" x14ac:dyDescent="0.25">
      <c r="A531" s="20">
        <v>91766</v>
      </c>
      <c r="B531" s="21">
        <v>9</v>
      </c>
    </row>
    <row r="532" spans="1:2" x14ac:dyDescent="0.25">
      <c r="A532" s="20">
        <v>91767</v>
      </c>
      <c r="B532" s="21">
        <v>9</v>
      </c>
    </row>
    <row r="533" spans="1:2" x14ac:dyDescent="0.25">
      <c r="A533" s="20">
        <v>91768</v>
      </c>
      <c r="B533" s="21">
        <v>9</v>
      </c>
    </row>
    <row r="534" spans="1:2" x14ac:dyDescent="0.25">
      <c r="A534" s="20">
        <v>91769</v>
      </c>
      <c r="B534" s="21">
        <v>9</v>
      </c>
    </row>
    <row r="535" spans="1:2" x14ac:dyDescent="0.25">
      <c r="A535" s="20">
        <v>91770</v>
      </c>
      <c r="B535" s="21">
        <v>9</v>
      </c>
    </row>
    <row r="536" spans="1:2" x14ac:dyDescent="0.25">
      <c r="A536" s="20">
        <v>91771</v>
      </c>
      <c r="B536" s="21">
        <v>9</v>
      </c>
    </row>
    <row r="537" spans="1:2" x14ac:dyDescent="0.25">
      <c r="A537" s="20">
        <v>91772</v>
      </c>
      <c r="B537" s="21">
        <v>9</v>
      </c>
    </row>
    <row r="538" spans="1:2" x14ac:dyDescent="0.25">
      <c r="A538" s="20">
        <v>91773</v>
      </c>
      <c r="B538" s="21">
        <v>9</v>
      </c>
    </row>
    <row r="539" spans="1:2" x14ac:dyDescent="0.25">
      <c r="A539" s="20">
        <v>91775</v>
      </c>
      <c r="B539" s="21">
        <v>9</v>
      </c>
    </row>
    <row r="540" spans="1:2" x14ac:dyDescent="0.25">
      <c r="A540" s="20">
        <v>91776</v>
      </c>
      <c r="B540" s="21">
        <v>9</v>
      </c>
    </row>
    <row r="541" spans="1:2" x14ac:dyDescent="0.25">
      <c r="A541" s="20">
        <v>91778</v>
      </c>
      <c r="B541" s="21">
        <v>9</v>
      </c>
    </row>
    <row r="542" spans="1:2" x14ac:dyDescent="0.25">
      <c r="A542" s="20">
        <v>91780</v>
      </c>
      <c r="B542" s="21">
        <v>9</v>
      </c>
    </row>
    <row r="543" spans="1:2" x14ac:dyDescent="0.25">
      <c r="A543" s="20">
        <v>91784</v>
      </c>
      <c r="B543" s="21">
        <v>10</v>
      </c>
    </row>
    <row r="544" spans="1:2" x14ac:dyDescent="0.25">
      <c r="A544" s="20">
        <v>91785</v>
      </c>
      <c r="B544" s="21">
        <v>10</v>
      </c>
    </row>
    <row r="545" spans="1:2" x14ac:dyDescent="0.25">
      <c r="A545" s="20">
        <v>91786</v>
      </c>
      <c r="B545" s="21">
        <v>10</v>
      </c>
    </row>
    <row r="546" spans="1:2" x14ac:dyDescent="0.25">
      <c r="A546" s="20">
        <v>91788</v>
      </c>
      <c r="B546" s="21">
        <v>9</v>
      </c>
    </row>
    <row r="547" spans="1:2" x14ac:dyDescent="0.25">
      <c r="A547" s="20">
        <v>91789</v>
      </c>
      <c r="B547" s="21">
        <v>9</v>
      </c>
    </row>
    <row r="548" spans="1:2" x14ac:dyDescent="0.25">
      <c r="A548" s="20">
        <v>91790</v>
      </c>
      <c r="B548" s="21">
        <v>9</v>
      </c>
    </row>
    <row r="549" spans="1:2" x14ac:dyDescent="0.25">
      <c r="A549" s="20">
        <v>91791</v>
      </c>
      <c r="B549" s="21">
        <v>9</v>
      </c>
    </row>
    <row r="550" spans="1:2" x14ac:dyDescent="0.25">
      <c r="A550" s="20">
        <v>91792</v>
      </c>
      <c r="B550" s="21">
        <v>9</v>
      </c>
    </row>
    <row r="551" spans="1:2" x14ac:dyDescent="0.25">
      <c r="A551" s="20">
        <v>91793</v>
      </c>
      <c r="B551" s="21">
        <v>9</v>
      </c>
    </row>
    <row r="552" spans="1:2" x14ac:dyDescent="0.25">
      <c r="A552" s="20">
        <v>91795</v>
      </c>
      <c r="B552" s="21">
        <v>9</v>
      </c>
    </row>
    <row r="553" spans="1:2" x14ac:dyDescent="0.25">
      <c r="A553" s="20">
        <v>91797</v>
      </c>
      <c r="B553" s="21">
        <v>9</v>
      </c>
    </row>
    <row r="554" spans="1:2" x14ac:dyDescent="0.25">
      <c r="A554" s="20">
        <v>91798</v>
      </c>
      <c r="B554" s="21">
        <v>10</v>
      </c>
    </row>
    <row r="555" spans="1:2" x14ac:dyDescent="0.25">
      <c r="A555" s="20">
        <v>91799</v>
      </c>
      <c r="B555" s="21">
        <v>9</v>
      </c>
    </row>
    <row r="556" spans="1:2" x14ac:dyDescent="0.25">
      <c r="A556" s="20">
        <v>91801</v>
      </c>
      <c r="B556" s="21">
        <v>9</v>
      </c>
    </row>
    <row r="557" spans="1:2" x14ac:dyDescent="0.25">
      <c r="A557" s="20">
        <v>91802</v>
      </c>
      <c r="B557" s="21">
        <v>9</v>
      </c>
    </row>
    <row r="558" spans="1:2" x14ac:dyDescent="0.25">
      <c r="A558" s="20">
        <v>91803</v>
      </c>
      <c r="B558" s="21">
        <v>9</v>
      </c>
    </row>
    <row r="559" spans="1:2" x14ac:dyDescent="0.25">
      <c r="A559" s="20">
        <v>91804</v>
      </c>
      <c r="B559" s="21">
        <v>9</v>
      </c>
    </row>
    <row r="560" spans="1:2" x14ac:dyDescent="0.25">
      <c r="A560" s="20">
        <v>91841</v>
      </c>
      <c r="B560" s="21">
        <v>9</v>
      </c>
    </row>
    <row r="561" spans="1:2" x14ac:dyDescent="0.25">
      <c r="A561" s="20">
        <v>91896</v>
      </c>
      <c r="B561" s="21">
        <v>9</v>
      </c>
    </row>
    <row r="562" spans="1:2" x14ac:dyDescent="0.25">
      <c r="A562" s="20">
        <v>91899</v>
      </c>
      <c r="B562" s="21">
        <v>9</v>
      </c>
    </row>
    <row r="563" spans="1:2" x14ac:dyDescent="0.25">
      <c r="A563" s="20">
        <v>91901</v>
      </c>
      <c r="B563" s="21">
        <v>10</v>
      </c>
    </row>
    <row r="564" spans="1:2" x14ac:dyDescent="0.25">
      <c r="A564" s="20">
        <v>91902</v>
      </c>
      <c r="B564" s="21">
        <v>7</v>
      </c>
    </row>
    <row r="565" spans="1:2" x14ac:dyDescent="0.25">
      <c r="A565" s="20">
        <v>91903</v>
      </c>
      <c r="B565" s="21">
        <v>10</v>
      </c>
    </row>
    <row r="566" spans="1:2" x14ac:dyDescent="0.25">
      <c r="A566" s="20">
        <v>91905</v>
      </c>
      <c r="B566" s="21">
        <v>14</v>
      </c>
    </row>
    <row r="567" spans="1:2" x14ac:dyDescent="0.25">
      <c r="A567" s="20">
        <v>91906</v>
      </c>
      <c r="B567" s="21">
        <v>14</v>
      </c>
    </row>
    <row r="568" spans="1:2" x14ac:dyDescent="0.25">
      <c r="A568" s="20">
        <v>91908</v>
      </c>
      <c r="B568" s="21">
        <v>7</v>
      </c>
    </row>
    <row r="569" spans="1:2" x14ac:dyDescent="0.25">
      <c r="A569" s="20">
        <v>91909</v>
      </c>
      <c r="B569" s="21">
        <v>7</v>
      </c>
    </row>
    <row r="570" spans="1:2" x14ac:dyDescent="0.25">
      <c r="A570" s="20">
        <v>91910</v>
      </c>
      <c r="B570" s="21">
        <v>7</v>
      </c>
    </row>
    <row r="571" spans="1:2" x14ac:dyDescent="0.25">
      <c r="A571" s="20">
        <v>91911</v>
      </c>
      <c r="B571" s="21">
        <v>7</v>
      </c>
    </row>
    <row r="572" spans="1:2" x14ac:dyDescent="0.25">
      <c r="A572" s="20">
        <v>91912</v>
      </c>
      <c r="B572" s="21">
        <v>7</v>
      </c>
    </row>
    <row r="573" spans="1:2" x14ac:dyDescent="0.25">
      <c r="A573" s="20">
        <v>91913</v>
      </c>
      <c r="B573" s="21">
        <v>7</v>
      </c>
    </row>
    <row r="574" spans="1:2" x14ac:dyDescent="0.25">
      <c r="A574" s="20">
        <v>91914</v>
      </c>
      <c r="B574" s="21">
        <v>10</v>
      </c>
    </row>
    <row r="575" spans="1:2" x14ac:dyDescent="0.25">
      <c r="A575" s="20">
        <v>91915</v>
      </c>
      <c r="B575" s="21">
        <v>7</v>
      </c>
    </row>
    <row r="576" spans="1:2" x14ac:dyDescent="0.25">
      <c r="A576" s="20">
        <v>91916</v>
      </c>
      <c r="B576" s="21">
        <v>14</v>
      </c>
    </row>
    <row r="577" spans="1:2" x14ac:dyDescent="0.25">
      <c r="A577" s="20">
        <v>91917</v>
      </c>
      <c r="B577" s="21">
        <v>10</v>
      </c>
    </row>
    <row r="578" spans="1:2" x14ac:dyDescent="0.25">
      <c r="A578" s="20">
        <v>91921</v>
      </c>
      <c r="B578" s="21">
        <v>7</v>
      </c>
    </row>
    <row r="579" spans="1:2" x14ac:dyDescent="0.25">
      <c r="A579" s="20">
        <v>91931</v>
      </c>
      <c r="B579" s="21">
        <v>14</v>
      </c>
    </row>
    <row r="580" spans="1:2" x14ac:dyDescent="0.25">
      <c r="A580" s="20">
        <v>91932</v>
      </c>
      <c r="B580" s="21">
        <v>7</v>
      </c>
    </row>
    <row r="581" spans="1:2" x14ac:dyDescent="0.25">
      <c r="A581" s="20">
        <v>91933</v>
      </c>
      <c r="B581" s="21">
        <v>7</v>
      </c>
    </row>
    <row r="582" spans="1:2" x14ac:dyDescent="0.25">
      <c r="A582" s="20">
        <v>91934</v>
      </c>
      <c r="B582" s="21">
        <v>14</v>
      </c>
    </row>
    <row r="583" spans="1:2" x14ac:dyDescent="0.25">
      <c r="A583" s="20">
        <v>91935</v>
      </c>
      <c r="B583" s="21">
        <v>10</v>
      </c>
    </row>
    <row r="584" spans="1:2" x14ac:dyDescent="0.25">
      <c r="A584" s="20">
        <v>91941</v>
      </c>
      <c r="B584" s="21">
        <v>7</v>
      </c>
    </row>
    <row r="585" spans="1:2" x14ac:dyDescent="0.25">
      <c r="A585" s="20">
        <v>91942</v>
      </c>
      <c r="B585" s="21">
        <v>7</v>
      </c>
    </row>
    <row r="586" spans="1:2" x14ac:dyDescent="0.25">
      <c r="A586" s="20">
        <v>91943</v>
      </c>
      <c r="B586" s="21">
        <v>7</v>
      </c>
    </row>
    <row r="587" spans="1:2" x14ac:dyDescent="0.25">
      <c r="A587" s="20">
        <v>91944</v>
      </c>
      <c r="B587" s="21">
        <v>7</v>
      </c>
    </row>
    <row r="588" spans="1:2" x14ac:dyDescent="0.25">
      <c r="A588" s="20">
        <v>91945</v>
      </c>
      <c r="B588" s="21">
        <v>7</v>
      </c>
    </row>
    <row r="589" spans="1:2" x14ac:dyDescent="0.25">
      <c r="A589" s="20">
        <v>91946</v>
      </c>
      <c r="B589" s="21">
        <v>7</v>
      </c>
    </row>
    <row r="590" spans="1:2" x14ac:dyDescent="0.25">
      <c r="A590" s="20">
        <v>91947</v>
      </c>
      <c r="B590" s="21">
        <v>7</v>
      </c>
    </row>
    <row r="591" spans="1:2" x14ac:dyDescent="0.25">
      <c r="A591" s="20">
        <v>91948</v>
      </c>
      <c r="B591" s="21">
        <v>14</v>
      </c>
    </row>
    <row r="592" spans="1:2" x14ac:dyDescent="0.25">
      <c r="A592" s="20">
        <v>91950</v>
      </c>
      <c r="B592" s="21">
        <v>7</v>
      </c>
    </row>
    <row r="593" spans="1:2" x14ac:dyDescent="0.25">
      <c r="A593" s="20">
        <v>91951</v>
      </c>
      <c r="B593" s="21">
        <v>7</v>
      </c>
    </row>
    <row r="594" spans="1:2" x14ac:dyDescent="0.25">
      <c r="A594" s="20">
        <v>91962</v>
      </c>
      <c r="B594" s="21">
        <v>14</v>
      </c>
    </row>
    <row r="595" spans="1:2" x14ac:dyDescent="0.25">
      <c r="A595" s="20">
        <v>91963</v>
      </c>
      <c r="B595" s="21">
        <v>14</v>
      </c>
    </row>
    <row r="596" spans="1:2" x14ac:dyDescent="0.25">
      <c r="A596" s="20">
        <v>91976</v>
      </c>
      <c r="B596" s="21">
        <v>10</v>
      </c>
    </row>
    <row r="597" spans="1:2" x14ac:dyDescent="0.25">
      <c r="A597" s="20">
        <v>91977</v>
      </c>
      <c r="B597" s="21">
        <v>10</v>
      </c>
    </row>
    <row r="598" spans="1:2" x14ac:dyDescent="0.25">
      <c r="A598" s="20">
        <v>91978</v>
      </c>
      <c r="B598" s="21">
        <v>10</v>
      </c>
    </row>
    <row r="599" spans="1:2" x14ac:dyDescent="0.25">
      <c r="A599" s="20">
        <v>91979</v>
      </c>
      <c r="B599" s="21">
        <v>10</v>
      </c>
    </row>
    <row r="600" spans="1:2" x14ac:dyDescent="0.25">
      <c r="A600" s="20">
        <v>91980</v>
      </c>
      <c r="B600" s="21">
        <v>14</v>
      </c>
    </row>
    <row r="601" spans="1:2" x14ac:dyDescent="0.25">
      <c r="A601" s="20">
        <v>91987</v>
      </c>
      <c r="B601" s="21">
        <v>14</v>
      </c>
    </row>
    <row r="602" spans="1:2" x14ac:dyDescent="0.25">
      <c r="A602" s="20">
        <v>91990</v>
      </c>
      <c r="B602" s="21">
        <v>14</v>
      </c>
    </row>
    <row r="603" spans="1:2" x14ac:dyDescent="0.25">
      <c r="A603" s="20">
        <v>92003</v>
      </c>
      <c r="B603" s="21">
        <v>10</v>
      </c>
    </row>
    <row r="604" spans="1:2" x14ac:dyDescent="0.25">
      <c r="A604" s="20">
        <v>92004</v>
      </c>
      <c r="B604" s="21">
        <v>15</v>
      </c>
    </row>
    <row r="605" spans="1:2" x14ac:dyDescent="0.25">
      <c r="A605" s="20">
        <v>92007</v>
      </c>
      <c r="B605" s="21">
        <v>7</v>
      </c>
    </row>
    <row r="606" spans="1:2" x14ac:dyDescent="0.25">
      <c r="A606" s="20">
        <v>92008</v>
      </c>
      <c r="B606" s="21">
        <v>7</v>
      </c>
    </row>
    <row r="607" spans="1:2" x14ac:dyDescent="0.25">
      <c r="A607" s="20">
        <v>92009</v>
      </c>
      <c r="B607" s="21">
        <v>7</v>
      </c>
    </row>
    <row r="608" spans="1:2" x14ac:dyDescent="0.25">
      <c r="A608" s="20">
        <v>92013</v>
      </c>
      <c r="B608" s="21">
        <v>7</v>
      </c>
    </row>
    <row r="609" spans="1:2" x14ac:dyDescent="0.25">
      <c r="A609" s="20">
        <v>92014</v>
      </c>
      <c r="B609" s="21">
        <v>7</v>
      </c>
    </row>
    <row r="610" spans="1:2" x14ac:dyDescent="0.25">
      <c r="A610" s="20">
        <v>92018</v>
      </c>
      <c r="B610" s="21">
        <v>7</v>
      </c>
    </row>
    <row r="611" spans="1:2" x14ac:dyDescent="0.25">
      <c r="A611" s="20">
        <v>92019</v>
      </c>
      <c r="B611" s="21">
        <v>10</v>
      </c>
    </row>
    <row r="612" spans="1:2" x14ac:dyDescent="0.25">
      <c r="A612" s="20">
        <v>92020</v>
      </c>
      <c r="B612" s="21">
        <v>10</v>
      </c>
    </row>
    <row r="613" spans="1:2" x14ac:dyDescent="0.25">
      <c r="A613" s="20">
        <v>92021</v>
      </c>
      <c r="B613" s="21">
        <v>10</v>
      </c>
    </row>
    <row r="614" spans="1:2" x14ac:dyDescent="0.25">
      <c r="A614" s="20">
        <v>92022</v>
      </c>
      <c r="B614" s="21">
        <v>10</v>
      </c>
    </row>
    <row r="615" spans="1:2" x14ac:dyDescent="0.25">
      <c r="A615" s="20">
        <v>92023</v>
      </c>
      <c r="B615" s="21">
        <v>7</v>
      </c>
    </row>
    <row r="616" spans="1:2" x14ac:dyDescent="0.25">
      <c r="A616" s="20">
        <v>92024</v>
      </c>
      <c r="B616" s="21">
        <v>7</v>
      </c>
    </row>
    <row r="617" spans="1:2" x14ac:dyDescent="0.25">
      <c r="A617" s="20">
        <v>92025</v>
      </c>
      <c r="B617" s="21">
        <v>10</v>
      </c>
    </row>
    <row r="618" spans="1:2" x14ac:dyDescent="0.25">
      <c r="A618" s="20">
        <v>92026</v>
      </c>
      <c r="B618" s="21">
        <v>10</v>
      </c>
    </row>
    <row r="619" spans="1:2" x14ac:dyDescent="0.25">
      <c r="A619" s="20">
        <v>92027</v>
      </c>
      <c r="B619" s="21">
        <v>10</v>
      </c>
    </row>
    <row r="620" spans="1:2" x14ac:dyDescent="0.25">
      <c r="A620" s="20">
        <v>92028</v>
      </c>
      <c r="B620" s="21">
        <v>10</v>
      </c>
    </row>
    <row r="621" spans="1:2" x14ac:dyDescent="0.25">
      <c r="A621" s="20">
        <v>92029</v>
      </c>
      <c r="B621" s="21">
        <v>10</v>
      </c>
    </row>
    <row r="622" spans="1:2" x14ac:dyDescent="0.25">
      <c r="A622" s="20">
        <v>92030</v>
      </c>
      <c r="B622" s="21">
        <v>10</v>
      </c>
    </row>
    <row r="623" spans="1:2" x14ac:dyDescent="0.25">
      <c r="A623" s="20">
        <v>92033</v>
      </c>
      <c r="B623" s="21">
        <v>10</v>
      </c>
    </row>
    <row r="624" spans="1:2" x14ac:dyDescent="0.25">
      <c r="A624" s="20">
        <v>92036</v>
      </c>
      <c r="B624" s="21">
        <v>14</v>
      </c>
    </row>
    <row r="625" spans="1:2" x14ac:dyDescent="0.25">
      <c r="A625" s="20">
        <v>92037</v>
      </c>
      <c r="B625" s="21">
        <v>7</v>
      </c>
    </row>
    <row r="626" spans="1:2" x14ac:dyDescent="0.25">
      <c r="A626" s="20">
        <v>92038</v>
      </c>
      <c r="B626" s="21">
        <v>7</v>
      </c>
    </row>
    <row r="627" spans="1:2" x14ac:dyDescent="0.25">
      <c r="A627" s="20">
        <v>92039</v>
      </c>
      <c r="B627" s="21">
        <v>7</v>
      </c>
    </row>
    <row r="628" spans="1:2" x14ac:dyDescent="0.25">
      <c r="A628" s="20">
        <v>92040</v>
      </c>
      <c r="B628" s="21">
        <v>10</v>
      </c>
    </row>
    <row r="629" spans="1:2" x14ac:dyDescent="0.25">
      <c r="A629" s="20">
        <v>92046</v>
      </c>
      <c r="B629" s="21">
        <v>10</v>
      </c>
    </row>
    <row r="630" spans="1:2" x14ac:dyDescent="0.25">
      <c r="A630" s="20">
        <v>92049</v>
      </c>
      <c r="B630" s="21">
        <v>7</v>
      </c>
    </row>
    <row r="631" spans="1:2" x14ac:dyDescent="0.25">
      <c r="A631" s="20">
        <v>92051</v>
      </c>
      <c r="B631" s="21">
        <v>7</v>
      </c>
    </row>
    <row r="632" spans="1:2" x14ac:dyDescent="0.25">
      <c r="A632" s="20">
        <v>92052</v>
      </c>
      <c r="B632" s="21">
        <v>7</v>
      </c>
    </row>
    <row r="633" spans="1:2" x14ac:dyDescent="0.25">
      <c r="A633" s="20">
        <v>92054</v>
      </c>
      <c r="B633" s="21">
        <v>7</v>
      </c>
    </row>
    <row r="634" spans="1:2" x14ac:dyDescent="0.25">
      <c r="A634" s="20">
        <v>92055</v>
      </c>
      <c r="B634" s="21">
        <v>7</v>
      </c>
    </row>
    <row r="635" spans="1:2" x14ac:dyDescent="0.25">
      <c r="A635" s="20">
        <v>92056</v>
      </c>
      <c r="B635" s="21">
        <v>7</v>
      </c>
    </row>
    <row r="636" spans="1:2" x14ac:dyDescent="0.25">
      <c r="A636" s="20">
        <v>92057</v>
      </c>
      <c r="B636" s="21">
        <v>7</v>
      </c>
    </row>
    <row r="637" spans="1:2" x14ac:dyDescent="0.25">
      <c r="A637" s="20">
        <v>92058</v>
      </c>
      <c r="B637" s="21">
        <v>7</v>
      </c>
    </row>
    <row r="638" spans="1:2" x14ac:dyDescent="0.25">
      <c r="A638" s="20">
        <v>92059</v>
      </c>
      <c r="B638" s="21">
        <v>10</v>
      </c>
    </row>
    <row r="639" spans="1:2" x14ac:dyDescent="0.25">
      <c r="A639" s="20">
        <v>92060</v>
      </c>
      <c r="B639" s="21">
        <v>14</v>
      </c>
    </row>
    <row r="640" spans="1:2" x14ac:dyDescent="0.25">
      <c r="A640" s="20">
        <v>92061</v>
      </c>
      <c r="B640" s="21">
        <v>10</v>
      </c>
    </row>
    <row r="641" spans="1:2" x14ac:dyDescent="0.25">
      <c r="A641" s="20">
        <v>92064</v>
      </c>
      <c r="B641" s="21">
        <v>10</v>
      </c>
    </row>
    <row r="642" spans="1:2" x14ac:dyDescent="0.25">
      <c r="A642" s="20">
        <v>92065</v>
      </c>
      <c r="B642" s="21">
        <v>10</v>
      </c>
    </row>
    <row r="643" spans="1:2" x14ac:dyDescent="0.25">
      <c r="A643" s="20">
        <v>92066</v>
      </c>
      <c r="B643" s="21">
        <v>14</v>
      </c>
    </row>
    <row r="644" spans="1:2" x14ac:dyDescent="0.25">
      <c r="A644" s="20">
        <v>92067</v>
      </c>
      <c r="B644" s="21">
        <v>7</v>
      </c>
    </row>
    <row r="645" spans="1:2" x14ac:dyDescent="0.25">
      <c r="A645" s="20">
        <v>92068</v>
      </c>
      <c r="B645" s="21">
        <v>7</v>
      </c>
    </row>
    <row r="646" spans="1:2" x14ac:dyDescent="0.25">
      <c r="A646" s="20">
        <v>92069</v>
      </c>
      <c r="B646" s="21">
        <v>10</v>
      </c>
    </row>
    <row r="647" spans="1:2" x14ac:dyDescent="0.25">
      <c r="A647" s="20">
        <v>92070</v>
      </c>
      <c r="B647" s="21">
        <v>14</v>
      </c>
    </row>
    <row r="648" spans="1:2" x14ac:dyDescent="0.25">
      <c r="A648" s="20">
        <v>92071</v>
      </c>
      <c r="B648" s="21">
        <v>10</v>
      </c>
    </row>
    <row r="649" spans="1:2" x14ac:dyDescent="0.25">
      <c r="A649" s="20">
        <v>92072</v>
      </c>
      <c r="B649" s="21">
        <v>10</v>
      </c>
    </row>
    <row r="650" spans="1:2" x14ac:dyDescent="0.25">
      <c r="A650" s="20">
        <v>92074</v>
      </c>
      <c r="B650" s="21">
        <v>10</v>
      </c>
    </row>
    <row r="651" spans="1:2" x14ac:dyDescent="0.25">
      <c r="A651" s="20">
        <v>92075</v>
      </c>
      <c r="B651" s="21">
        <v>7</v>
      </c>
    </row>
    <row r="652" spans="1:2" x14ac:dyDescent="0.25">
      <c r="A652" s="20">
        <v>92078</v>
      </c>
      <c r="B652" s="21">
        <v>10</v>
      </c>
    </row>
    <row r="653" spans="1:2" x14ac:dyDescent="0.25">
      <c r="A653" s="20">
        <v>92079</v>
      </c>
      <c r="B653" s="21">
        <v>10</v>
      </c>
    </row>
    <row r="654" spans="1:2" x14ac:dyDescent="0.25">
      <c r="A654" s="20">
        <v>92081</v>
      </c>
      <c r="B654" s="21">
        <v>7</v>
      </c>
    </row>
    <row r="655" spans="1:2" x14ac:dyDescent="0.25">
      <c r="A655" s="20">
        <v>92082</v>
      </c>
      <c r="B655" s="21">
        <v>10</v>
      </c>
    </row>
    <row r="656" spans="1:2" x14ac:dyDescent="0.25">
      <c r="A656" s="20">
        <v>92083</v>
      </c>
      <c r="B656" s="21">
        <v>7</v>
      </c>
    </row>
    <row r="657" spans="1:2" x14ac:dyDescent="0.25">
      <c r="A657" s="20">
        <v>92084</v>
      </c>
      <c r="B657" s="21">
        <v>7</v>
      </c>
    </row>
    <row r="658" spans="1:2" x14ac:dyDescent="0.25">
      <c r="A658" s="20">
        <v>92085</v>
      </c>
      <c r="B658" s="21">
        <v>7</v>
      </c>
    </row>
    <row r="659" spans="1:2" x14ac:dyDescent="0.25">
      <c r="A659" s="20">
        <v>92086</v>
      </c>
      <c r="B659" s="21">
        <v>14</v>
      </c>
    </row>
    <row r="660" spans="1:2" x14ac:dyDescent="0.25">
      <c r="A660" s="20">
        <v>92088</v>
      </c>
      <c r="B660" s="21">
        <v>10</v>
      </c>
    </row>
    <row r="661" spans="1:2" x14ac:dyDescent="0.25">
      <c r="A661" s="20">
        <v>92090</v>
      </c>
      <c r="B661" s="21">
        <v>10</v>
      </c>
    </row>
    <row r="662" spans="1:2" x14ac:dyDescent="0.25">
      <c r="A662" s="20">
        <v>92091</v>
      </c>
      <c r="B662" s="21">
        <v>7</v>
      </c>
    </row>
    <row r="663" spans="1:2" x14ac:dyDescent="0.25">
      <c r="A663" s="20">
        <v>92092</v>
      </c>
      <c r="B663" s="21">
        <v>7</v>
      </c>
    </row>
    <row r="664" spans="1:2" x14ac:dyDescent="0.25">
      <c r="A664" s="20">
        <v>92093</v>
      </c>
      <c r="B664" s="21">
        <v>7</v>
      </c>
    </row>
    <row r="665" spans="1:2" x14ac:dyDescent="0.25">
      <c r="A665" s="20">
        <v>92096</v>
      </c>
      <c r="B665" s="21">
        <v>10</v>
      </c>
    </row>
    <row r="666" spans="1:2" x14ac:dyDescent="0.25">
      <c r="A666" s="20">
        <v>92101</v>
      </c>
      <c r="B666" s="21">
        <v>7</v>
      </c>
    </row>
    <row r="667" spans="1:2" x14ac:dyDescent="0.25">
      <c r="A667" s="20">
        <v>92102</v>
      </c>
      <c r="B667" s="21">
        <v>7</v>
      </c>
    </row>
    <row r="668" spans="1:2" x14ac:dyDescent="0.25">
      <c r="A668" s="20">
        <v>92103</v>
      </c>
      <c r="B668" s="21">
        <v>7</v>
      </c>
    </row>
    <row r="669" spans="1:2" x14ac:dyDescent="0.25">
      <c r="A669" s="20">
        <v>92104</v>
      </c>
      <c r="B669" s="21">
        <v>7</v>
      </c>
    </row>
    <row r="670" spans="1:2" x14ac:dyDescent="0.25">
      <c r="A670" s="20">
        <v>92105</v>
      </c>
      <c r="B670" s="21">
        <v>7</v>
      </c>
    </row>
    <row r="671" spans="1:2" x14ac:dyDescent="0.25">
      <c r="A671" s="20">
        <v>92106</v>
      </c>
      <c r="B671" s="21">
        <v>7</v>
      </c>
    </row>
    <row r="672" spans="1:2" x14ac:dyDescent="0.25">
      <c r="A672" s="20">
        <v>92107</v>
      </c>
      <c r="B672" s="21">
        <v>7</v>
      </c>
    </row>
    <row r="673" spans="1:2" x14ac:dyDescent="0.25">
      <c r="A673" s="20">
        <v>92108</v>
      </c>
      <c r="B673" s="21">
        <v>7</v>
      </c>
    </row>
    <row r="674" spans="1:2" x14ac:dyDescent="0.25">
      <c r="A674" s="20">
        <v>92109</v>
      </c>
      <c r="B674" s="21">
        <v>7</v>
      </c>
    </row>
    <row r="675" spans="1:2" x14ac:dyDescent="0.25">
      <c r="A675" s="20">
        <v>92110</v>
      </c>
      <c r="B675" s="21">
        <v>7</v>
      </c>
    </row>
    <row r="676" spans="1:2" x14ac:dyDescent="0.25">
      <c r="A676" s="20">
        <v>92111</v>
      </c>
      <c r="B676" s="21">
        <v>7</v>
      </c>
    </row>
    <row r="677" spans="1:2" x14ac:dyDescent="0.25">
      <c r="A677" s="20">
        <v>92112</v>
      </c>
      <c r="B677" s="21">
        <v>7</v>
      </c>
    </row>
    <row r="678" spans="1:2" x14ac:dyDescent="0.25">
      <c r="A678" s="20">
        <v>92113</v>
      </c>
      <c r="B678" s="21">
        <v>7</v>
      </c>
    </row>
    <row r="679" spans="1:2" x14ac:dyDescent="0.25">
      <c r="A679" s="20">
        <v>92114</v>
      </c>
      <c r="B679" s="21">
        <v>7</v>
      </c>
    </row>
    <row r="680" spans="1:2" x14ac:dyDescent="0.25">
      <c r="A680" s="20">
        <v>92115</v>
      </c>
      <c r="B680" s="21">
        <v>7</v>
      </c>
    </row>
    <row r="681" spans="1:2" x14ac:dyDescent="0.25">
      <c r="A681" s="20">
        <v>92116</v>
      </c>
      <c r="B681" s="21">
        <v>7</v>
      </c>
    </row>
    <row r="682" spans="1:2" x14ac:dyDescent="0.25">
      <c r="A682" s="20">
        <v>92117</v>
      </c>
      <c r="B682" s="21">
        <v>7</v>
      </c>
    </row>
    <row r="683" spans="1:2" x14ac:dyDescent="0.25">
      <c r="A683" s="20">
        <v>92118</v>
      </c>
      <c r="B683" s="21">
        <v>7</v>
      </c>
    </row>
    <row r="684" spans="1:2" x14ac:dyDescent="0.25">
      <c r="A684" s="20">
        <v>92119</v>
      </c>
      <c r="B684" s="21">
        <v>7</v>
      </c>
    </row>
    <row r="685" spans="1:2" x14ac:dyDescent="0.25">
      <c r="A685" s="20">
        <v>92120</v>
      </c>
      <c r="B685" s="21">
        <v>7</v>
      </c>
    </row>
    <row r="686" spans="1:2" x14ac:dyDescent="0.25">
      <c r="A686" s="20">
        <v>92121</v>
      </c>
      <c r="B686" s="21">
        <v>7</v>
      </c>
    </row>
    <row r="687" spans="1:2" x14ac:dyDescent="0.25">
      <c r="A687" s="20">
        <v>92122</v>
      </c>
      <c r="B687" s="21">
        <v>7</v>
      </c>
    </row>
    <row r="688" spans="1:2" x14ac:dyDescent="0.25">
      <c r="A688" s="20">
        <v>92123</v>
      </c>
      <c r="B688" s="21">
        <v>7</v>
      </c>
    </row>
    <row r="689" spans="1:2" x14ac:dyDescent="0.25">
      <c r="A689" s="20">
        <v>92124</v>
      </c>
      <c r="B689" s="21">
        <v>7</v>
      </c>
    </row>
    <row r="690" spans="1:2" x14ac:dyDescent="0.25">
      <c r="A690" s="20">
        <v>92126</v>
      </c>
      <c r="B690" s="21">
        <v>7</v>
      </c>
    </row>
    <row r="691" spans="1:2" x14ac:dyDescent="0.25">
      <c r="A691" s="20">
        <v>92127</v>
      </c>
      <c r="B691" s="21">
        <v>10</v>
      </c>
    </row>
    <row r="692" spans="1:2" x14ac:dyDescent="0.25">
      <c r="A692" s="20">
        <v>92128</v>
      </c>
      <c r="B692" s="21">
        <v>10</v>
      </c>
    </row>
    <row r="693" spans="1:2" x14ac:dyDescent="0.25">
      <c r="A693" s="20">
        <v>92129</v>
      </c>
      <c r="B693" s="21">
        <v>7</v>
      </c>
    </row>
    <row r="694" spans="1:2" x14ac:dyDescent="0.25">
      <c r="A694" s="20">
        <v>92130</v>
      </c>
      <c r="B694" s="21">
        <v>7</v>
      </c>
    </row>
    <row r="695" spans="1:2" x14ac:dyDescent="0.25">
      <c r="A695" s="20">
        <v>92131</v>
      </c>
      <c r="B695" s="21">
        <v>10</v>
      </c>
    </row>
    <row r="696" spans="1:2" x14ac:dyDescent="0.25">
      <c r="A696" s="20">
        <v>92132</v>
      </c>
      <c r="B696" s="21">
        <v>7</v>
      </c>
    </row>
    <row r="697" spans="1:2" x14ac:dyDescent="0.25">
      <c r="A697" s="20">
        <v>92133</v>
      </c>
      <c r="B697" s="21">
        <v>7</v>
      </c>
    </row>
    <row r="698" spans="1:2" x14ac:dyDescent="0.25">
      <c r="A698" s="20">
        <v>92134</v>
      </c>
      <c r="B698" s="21">
        <v>7</v>
      </c>
    </row>
    <row r="699" spans="1:2" x14ac:dyDescent="0.25">
      <c r="A699" s="20">
        <v>92135</v>
      </c>
      <c r="B699" s="21">
        <v>7</v>
      </c>
    </row>
    <row r="700" spans="1:2" x14ac:dyDescent="0.25">
      <c r="A700" s="20">
        <v>92136</v>
      </c>
      <c r="B700" s="21">
        <v>7</v>
      </c>
    </row>
    <row r="701" spans="1:2" x14ac:dyDescent="0.25">
      <c r="A701" s="20">
        <v>92137</v>
      </c>
      <c r="B701" s="21">
        <v>7</v>
      </c>
    </row>
    <row r="702" spans="1:2" x14ac:dyDescent="0.25">
      <c r="A702" s="20">
        <v>92138</v>
      </c>
      <c r="B702" s="21">
        <v>7</v>
      </c>
    </row>
    <row r="703" spans="1:2" x14ac:dyDescent="0.25">
      <c r="A703" s="20">
        <v>92139</v>
      </c>
      <c r="B703" s="21">
        <v>7</v>
      </c>
    </row>
    <row r="704" spans="1:2" x14ac:dyDescent="0.25">
      <c r="A704" s="20">
        <v>92140</v>
      </c>
      <c r="B704" s="21">
        <v>7</v>
      </c>
    </row>
    <row r="705" spans="1:2" x14ac:dyDescent="0.25">
      <c r="A705" s="20">
        <v>92142</v>
      </c>
      <c r="B705" s="21">
        <v>10</v>
      </c>
    </row>
    <row r="706" spans="1:2" x14ac:dyDescent="0.25">
      <c r="A706" s="20">
        <v>92143</v>
      </c>
      <c r="B706" s="21">
        <v>7</v>
      </c>
    </row>
    <row r="707" spans="1:2" x14ac:dyDescent="0.25">
      <c r="A707" s="20">
        <v>92145</v>
      </c>
      <c r="B707" s="21">
        <v>7</v>
      </c>
    </row>
    <row r="708" spans="1:2" x14ac:dyDescent="0.25">
      <c r="A708" s="20">
        <v>92147</v>
      </c>
      <c r="B708" s="21">
        <v>7</v>
      </c>
    </row>
    <row r="709" spans="1:2" x14ac:dyDescent="0.25">
      <c r="A709" s="20">
        <v>92149</v>
      </c>
      <c r="B709" s="21">
        <v>7</v>
      </c>
    </row>
    <row r="710" spans="1:2" x14ac:dyDescent="0.25">
      <c r="A710" s="20">
        <v>92150</v>
      </c>
      <c r="B710" s="21">
        <v>10</v>
      </c>
    </row>
    <row r="711" spans="1:2" x14ac:dyDescent="0.25">
      <c r="A711" s="20">
        <v>92152</v>
      </c>
      <c r="B711" s="21">
        <v>7</v>
      </c>
    </row>
    <row r="712" spans="1:2" x14ac:dyDescent="0.25">
      <c r="A712" s="20">
        <v>92153</v>
      </c>
      <c r="B712" s="21">
        <v>7</v>
      </c>
    </row>
    <row r="713" spans="1:2" x14ac:dyDescent="0.25">
      <c r="A713" s="20">
        <v>92154</v>
      </c>
      <c r="B713" s="21">
        <v>7</v>
      </c>
    </row>
    <row r="714" spans="1:2" x14ac:dyDescent="0.25">
      <c r="A714" s="20">
        <v>92155</v>
      </c>
      <c r="B714" s="21">
        <v>7</v>
      </c>
    </row>
    <row r="715" spans="1:2" x14ac:dyDescent="0.25">
      <c r="A715" s="20">
        <v>92158</v>
      </c>
      <c r="B715" s="21">
        <v>10</v>
      </c>
    </row>
    <row r="716" spans="1:2" x14ac:dyDescent="0.25">
      <c r="A716" s="20">
        <v>92159</v>
      </c>
      <c r="B716" s="21">
        <v>7</v>
      </c>
    </row>
    <row r="717" spans="1:2" x14ac:dyDescent="0.25">
      <c r="A717" s="20">
        <v>92160</v>
      </c>
      <c r="B717" s="21">
        <v>7</v>
      </c>
    </row>
    <row r="718" spans="1:2" x14ac:dyDescent="0.25">
      <c r="A718" s="20">
        <v>92161</v>
      </c>
      <c r="B718" s="21">
        <v>7</v>
      </c>
    </row>
    <row r="719" spans="1:2" x14ac:dyDescent="0.25">
      <c r="A719" s="20">
        <v>92162</v>
      </c>
      <c r="B719" s="21">
        <v>7</v>
      </c>
    </row>
    <row r="720" spans="1:2" x14ac:dyDescent="0.25">
      <c r="A720" s="20">
        <v>92163</v>
      </c>
      <c r="B720" s="21">
        <v>7</v>
      </c>
    </row>
    <row r="721" spans="1:2" x14ac:dyDescent="0.25">
      <c r="A721" s="20">
        <v>92164</v>
      </c>
      <c r="B721" s="21">
        <v>7</v>
      </c>
    </row>
    <row r="722" spans="1:2" x14ac:dyDescent="0.25">
      <c r="A722" s="20">
        <v>92165</v>
      </c>
      <c r="B722" s="21">
        <v>7</v>
      </c>
    </row>
    <row r="723" spans="1:2" x14ac:dyDescent="0.25">
      <c r="A723" s="20">
        <v>92166</v>
      </c>
      <c r="B723" s="21">
        <v>7</v>
      </c>
    </row>
    <row r="724" spans="1:2" x14ac:dyDescent="0.25">
      <c r="A724" s="20">
        <v>92167</v>
      </c>
      <c r="B724" s="21">
        <v>7</v>
      </c>
    </row>
    <row r="725" spans="1:2" x14ac:dyDescent="0.25">
      <c r="A725" s="20">
        <v>92168</v>
      </c>
      <c r="B725" s="21">
        <v>7</v>
      </c>
    </row>
    <row r="726" spans="1:2" x14ac:dyDescent="0.25">
      <c r="A726" s="20">
        <v>92169</v>
      </c>
      <c r="B726" s="21">
        <v>7</v>
      </c>
    </row>
    <row r="727" spans="1:2" x14ac:dyDescent="0.25">
      <c r="A727" s="20">
        <v>92170</v>
      </c>
      <c r="B727" s="21">
        <v>7</v>
      </c>
    </row>
    <row r="728" spans="1:2" x14ac:dyDescent="0.25">
      <c r="A728" s="20">
        <v>92171</v>
      </c>
      <c r="B728" s="21">
        <v>7</v>
      </c>
    </row>
    <row r="729" spans="1:2" x14ac:dyDescent="0.25">
      <c r="A729" s="20">
        <v>92172</v>
      </c>
      <c r="B729" s="21">
        <v>7</v>
      </c>
    </row>
    <row r="730" spans="1:2" x14ac:dyDescent="0.25">
      <c r="A730" s="20">
        <v>92173</v>
      </c>
      <c r="B730" s="21">
        <v>7</v>
      </c>
    </row>
    <row r="731" spans="1:2" x14ac:dyDescent="0.25">
      <c r="A731" s="20">
        <v>92174</v>
      </c>
      <c r="B731" s="21">
        <v>7</v>
      </c>
    </row>
    <row r="732" spans="1:2" x14ac:dyDescent="0.25">
      <c r="A732" s="20">
        <v>92175</v>
      </c>
      <c r="B732" s="21">
        <v>7</v>
      </c>
    </row>
    <row r="733" spans="1:2" x14ac:dyDescent="0.25">
      <c r="A733" s="20">
        <v>92176</v>
      </c>
      <c r="B733" s="21">
        <v>7</v>
      </c>
    </row>
    <row r="734" spans="1:2" x14ac:dyDescent="0.25">
      <c r="A734" s="20">
        <v>92177</v>
      </c>
      <c r="B734" s="21">
        <v>7</v>
      </c>
    </row>
    <row r="735" spans="1:2" x14ac:dyDescent="0.25">
      <c r="A735" s="20">
        <v>92178</v>
      </c>
      <c r="B735" s="21">
        <v>7</v>
      </c>
    </row>
    <row r="736" spans="1:2" x14ac:dyDescent="0.25">
      <c r="A736" s="20">
        <v>92179</v>
      </c>
      <c r="B736" s="21">
        <v>7</v>
      </c>
    </row>
    <row r="737" spans="1:2" x14ac:dyDescent="0.25">
      <c r="A737" s="20">
        <v>92182</v>
      </c>
      <c r="B737" s="21">
        <v>7</v>
      </c>
    </row>
    <row r="738" spans="1:2" x14ac:dyDescent="0.25">
      <c r="A738" s="20">
        <v>92184</v>
      </c>
      <c r="B738" s="21">
        <v>7</v>
      </c>
    </row>
    <row r="739" spans="1:2" x14ac:dyDescent="0.25">
      <c r="A739" s="20">
        <v>92186</v>
      </c>
      <c r="B739" s="21">
        <v>7</v>
      </c>
    </row>
    <row r="740" spans="1:2" x14ac:dyDescent="0.25">
      <c r="A740" s="20">
        <v>92187</v>
      </c>
      <c r="B740" s="21">
        <v>7</v>
      </c>
    </row>
    <row r="741" spans="1:2" x14ac:dyDescent="0.25">
      <c r="A741" s="20">
        <v>92190</v>
      </c>
      <c r="B741" s="21">
        <v>7</v>
      </c>
    </row>
    <row r="742" spans="1:2" x14ac:dyDescent="0.25">
      <c r="A742" s="20">
        <v>92191</v>
      </c>
      <c r="B742" s="21">
        <v>7</v>
      </c>
    </row>
    <row r="743" spans="1:2" x14ac:dyDescent="0.25">
      <c r="A743" s="20">
        <v>92192</v>
      </c>
      <c r="B743" s="21">
        <v>7</v>
      </c>
    </row>
    <row r="744" spans="1:2" x14ac:dyDescent="0.25">
      <c r="A744" s="20">
        <v>92193</v>
      </c>
      <c r="B744" s="21">
        <v>7</v>
      </c>
    </row>
    <row r="745" spans="1:2" x14ac:dyDescent="0.25">
      <c r="A745" s="20">
        <v>92194</v>
      </c>
      <c r="B745" s="21">
        <v>7</v>
      </c>
    </row>
    <row r="746" spans="1:2" x14ac:dyDescent="0.25">
      <c r="A746" s="20">
        <v>92195</v>
      </c>
      <c r="B746" s="21">
        <v>7</v>
      </c>
    </row>
    <row r="747" spans="1:2" x14ac:dyDescent="0.25">
      <c r="A747" s="20">
        <v>92196</v>
      </c>
      <c r="B747" s="21">
        <v>7</v>
      </c>
    </row>
    <row r="748" spans="1:2" x14ac:dyDescent="0.25">
      <c r="A748" s="20">
        <v>92197</v>
      </c>
      <c r="B748" s="21">
        <v>10</v>
      </c>
    </row>
    <row r="749" spans="1:2" x14ac:dyDescent="0.25">
      <c r="A749" s="20">
        <v>92198</v>
      </c>
      <c r="B749" s="21">
        <v>10</v>
      </c>
    </row>
    <row r="750" spans="1:2" x14ac:dyDescent="0.25">
      <c r="A750" s="20">
        <v>92199</v>
      </c>
      <c r="B750" s="21">
        <v>10</v>
      </c>
    </row>
    <row r="751" spans="1:2" x14ac:dyDescent="0.25">
      <c r="A751" s="20">
        <v>92201</v>
      </c>
      <c r="B751" s="21">
        <v>15</v>
      </c>
    </row>
    <row r="752" spans="1:2" x14ac:dyDescent="0.25">
      <c r="A752" s="20">
        <v>92202</v>
      </c>
      <c r="B752" s="21">
        <v>15</v>
      </c>
    </row>
    <row r="753" spans="1:2" x14ac:dyDescent="0.25">
      <c r="A753" s="20">
        <v>92203</v>
      </c>
      <c r="B753" s="21">
        <v>15</v>
      </c>
    </row>
    <row r="754" spans="1:2" x14ac:dyDescent="0.25">
      <c r="A754" s="20">
        <v>92210</v>
      </c>
      <c r="B754" s="21">
        <v>15</v>
      </c>
    </row>
    <row r="755" spans="1:2" x14ac:dyDescent="0.25">
      <c r="A755" s="20">
        <v>92211</v>
      </c>
      <c r="B755" s="21">
        <v>15</v>
      </c>
    </row>
    <row r="756" spans="1:2" x14ac:dyDescent="0.25">
      <c r="A756" s="20">
        <v>92220</v>
      </c>
      <c r="B756" s="21">
        <v>15</v>
      </c>
    </row>
    <row r="757" spans="1:2" x14ac:dyDescent="0.25">
      <c r="A757" s="20">
        <v>92222</v>
      </c>
      <c r="B757" s="21">
        <v>15</v>
      </c>
    </row>
    <row r="758" spans="1:2" x14ac:dyDescent="0.25">
      <c r="A758" s="20">
        <v>92223</v>
      </c>
      <c r="B758" s="21">
        <v>10</v>
      </c>
    </row>
    <row r="759" spans="1:2" x14ac:dyDescent="0.25">
      <c r="A759" s="20">
        <v>92225</v>
      </c>
      <c r="B759" s="21">
        <v>15</v>
      </c>
    </row>
    <row r="760" spans="1:2" x14ac:dyDescent="0.25">
      <c r="A760" s="20">
        <v>92226</v>
      </c>
      <c r="B760" s="21">
        <v>15</v>
      </c>
    </row>
    <row r="761" spans="1:2" x14ac:dyDescent="0.25">
      <c r="A761" s="20">
        <v>92227</v>
      </c>
      <c r="B761" s="21">
        <v>15</v>
      </c>
    </row>
    <row r="762" spans="1:2" x14ac:dyDescent="0.25">
      <c r="A762" s="20">
        <v>92230</v>
      </c>
      <c r="B762" s="21">
        <v>15</v>
      </c>
    </row>
    <row r="763" spans="1:2" x14ac:dyDescent="0.25">
      <c r="A763" s="20">
        <v>92231</v>
      </c>
      <c r="B763" s="21">
        <v>15</v>
      </c>
    </row>
    <row r="764" spans="1:2" x14ac:dyDescent="0.25">
      <c r="A764" s="20">
        <v>92232</v>
      </c>
      <c r="B764" s="21">
        <v>15</v>
      </c>
    </row>
    <row r="765" spans="1:2" x14ac:dyDescent="0.25">
      <c r="A765" s="20">
        <v>92233</v>
      </c>
      <c r="B765" s="21">
        <v>15</v>
      </c>
    </row>
    <row r="766" spans="1:2" x14ac:dyDescent="0.25">
      <c r="A766" s="20">
        <v>92234</v>
      </c>
      <c r="B766" s="21">
        <v>15</v>
      </c>
    </row>
    <row r="767" spans="1:2" x14ac:dyDescent="0.25">
      <c r="A767" s="20">
        <v>92235</v>
      </c>
      <c r="B767" s="21">
        <v>15</v>
      </c>
    </row>
    <row r="768" spans="1:2" x14ac:dyDescent="0.25">
      <c r="A768" s="20">
        <v>92236</v>
      </c>
      <c r="B768" s="21">
        <v>15</v>
      </c>
    </row>
    <row r="769" spans="1:2" x14ac:dyDescent="0.25">
      <c r="A769" s="20">
        <v>92239</v>
      </c>
      <c r="B769" s="21">
        <v>15</v>
      </c>
    </row>
    <row r="770" spans="1:2" x14ac:dyDescent="0.25">
      <c r="A770" s="20">
        <v>92240</v>
      </c>
      <c r="B770" s="21">
        <v>15</v>
      </c>
    </row>
    <row r="771" spans="1:2" x14ac:dyDescent="0.25">
      <c r="A771" s="20">
        <v>92241</v>
      </c>
      <c r="B771" s="21">
        <v>15</v>
      </c>
    </row>
    <row r="772" spans="1:2" x14ac:dyDescent="0.25">
      <c r="A772" s="20">
        <v>92242</v>
      </c>
      <c r="B772" s="21">
        <v>15</v>
      </c>
    </row>
    <row r="773" spans="1:2" x14ac:dyDescent="0.25">
      <c r="A773" s="20">
        <v>92243</v>
      </c>
      <c r="B773" s="21">
        <v>15</v>
      </c>
    </row>
    <row r="774" spans="1:2" x14ac:dyDescent="0.25">
      <c r="A774" s="20">
        <v>92244</v>
      </c>
      <c r="B774" s="21">
        <v>15</v>
      </c>
    </row>
    <row r="775" spans="1:2" x14ac:dyDescent="0.25">
      <c r="A775" s="20">
        <v>92249</v>
      </c>
      <c r="B775" s="21">
        <v>15</v>
      </c>
    </row>
    <row r="776" spans="1:2" x14ac:dyDescent="0.25">
      <c r="A776" s="20">
        <v>92250</v>
      </c>
      <c r="B776" s="21">
        <v>15</v>
      </c>
    </row>
    <row r="777" spans="1:2" x14ac:dyDescent="0.25">
      <c r="A777" s="20">
        <v>92251</v>
      </c>
      <c r="B777" s="21">
        <v>15</v>
      </c>
    </row>
    <row r="778" spans="1:2" x14ac:dyDescent="0.25">
      <c r="A778" s="20">
        <v>92252</v>
      </c>
      <c r="B778" s="21">
        <v>14</v>
      </c>
    </row>
    <row r="779" spans="1:2" x14ac:dyDescent="0.25">
      <c r="A779" s="20">
        <v>92253</v>
      </c>
      <c r="B779" s="21">
        <v>15</v>
      </c>
    </row>
    <row r="780" spans="1:2" x14ac:dyDescent="0.25">
      <c r="A780" s="20">
        <v>92254</v>
      </c>
      <c r="B780" s="21">
        <v>15</v>
      </c>
    </row>
    <row r="781" spans="1:2" x14ac:dyDescent="0.25">
      <c r="A781" s="20">
        <v>92255</v>
      </c>
      <c r="B781" s="21">
        <v>15</v>
      </c>
    </row>
    <row r="782" spans="1:2" x14ac:dyDescent="0.25">
      <c r="A782" s="20">
        <v>92256</v>
      </c>
      <c r="B782" s="21">
        <v>14</v>
      </c>
    </row>
    <row r="783" spans="1:2" x14ac:dyDescent="0.25">
      <c r="A783" s="20">
        <v>92257</v>
      </c>
      <c r="B783" s="21">
        <v>15</v>
      </c>
    </row>
    <row r="784" spans="1:2" x14ac:dyDescent="0.25">
      <c r="A784" s="20">
        <v>92258</v>
      </c>
      <c r="B784" s="21">
        <v>15</v>
      </c>
    </row>
    <row r="785" spans="1:2" x14ac:dyDescent="0.25">
      <c r="A785" s="20">
        <v>92259</v>
      </c>
      <c r="B785" s="21">
        <v>15</v>
      </c>
    </row>
    <row r="786" spans="1:2" x14ac:dyDescent="0.25">
      <c r="A786" s="20">
        <v>92260</v>
      </c>
      <c r="B786" s="21">
        <v>15</v>
      </c>
    </row>
    <row r="787" spans="1:2" x14ac:dyDescent="0.25">
      <c r="A787" s="20">
        <v>92261</v>
      </c>
      <c r="B787" s="21">
        <v>15</v>
      </c>
    </row>
    <row r="788" spans="1:2" x14ac:dyDescent="0.25">
      <c r="A788" s="20">
        <v>92262</v>
      </c>
      <c r="B788" s="21">
        <v>15</v>
      </c>
    </row>
    <row r="789" spans="1:2" x14ac:dyDescent="0.25">
      <c r="A789" s="20">
        <v>92263</v>
      </c>
      <c r="B789" s="21">
        <v>15</v>
      </c>
    </row>
    <row r="790" spans="1:2" x14ac:dyDescent="0.25">
      <c r="A790" s="20">
        <v>92264</v>
      </c>
      <c r="B790" s="21">
        <v>15</v>
      </c>
    </row>
    <row r="791" spans="1:2" x14ac:dyDescent="0.25">
      <c r="A791" s="20">
        <v>92266</v>
      </c>
      <c r="B791" s="21">
        <v>14</v>
      </c>
    </row>
    <row r="792" spans="1:2" x14ac:dyDescent="0.25">
      <c r="A792" s="20">
        <v>92267</v>
      </c>
      <c r="B792" s="21">
        <v>15</v>
      </c>
    </row>
    <row r="793" spans="1:2" x14ac:dyDescent="0.25">
      <c r="A793" s="20">
        <v>92268</v>
      </c>
      <c r="B793" s="21">
        <v>14</v>
      </c>
    </row>
    <row r="794" spans="1:2" x14ac:dyDescent="0.25">
      <c r="A794" s="20">
        <v>92270</v>
      </c>
      <c r="B794" s="21">
        <v>15</v>
      </c>
    </row>
    <row r="795" spans="1:2" x14ac:dyDescent="0.25">
      <c r="A795" s="20">
        <v>92273</v>
      </c>
      <c r="B795" s="21">
        <v>15</v>
      </c>
    </row>
    <row r="796" spans="1:2" x14ac:dyDescent="0.25">
      <c r="A796" s="20">
        <v>92274</v>
      </c>
      <c r="B796" s="21">
        <v>15</v>
      </c>
    </row>
    <row r="797" spans="1:2" x14ac:dyDescent="0.25">
      <c r="A797" s="20">
        <v>92275</v>
      </c>
      <c r="B797" s="21">
        <v>15</v>
      </c>
    </row>
    <row r="798" spans="1:2" x14ac:dyDescent="0.25">
      <c r="A798" s="20">
        <v>92276</v>
      </c>
      <c r="B798" s="21">
        <v>15</v>
      </c>
    </row>
    <row r="799" spans="1:2" x14ac:dyDescent="0.25">
      <c r="A799" s="20">
        <v>92277</v>
      </c>
      <c r="B799" s="21">
        <v>14</v>
      </c>
    </row>
    <row r="800" spans="1:2" x14ac:dyDescent="0.25">
      <c r="A800" s="20">
        <v>92278</v>
      </c>
      <c r="B800" s="21">
        <v>14</v>
      </c>
    </row>
    <row r="801" spans="1:2" x14ac:dyDescent="0.25">
      <c r="A801" s="20">
        <v>92280</v>
      </c>
      <c r="B801" s="21">
        <v>15</v>
      </c>
    </row>
    <row r="802" spans="1:2" x14ac:dyDescent="0.25">
      <c r="A802" s="20">
        <v>92281</v>
      </c>
      <c r="B802" s="21">
        <v>15</v>
      </c>
    </row>
    <row r="803" spans="1:2" x14ac:dyDescent="0.25">
      <c r="A803" s="20">
        <v>92282</v>
      </c>
      <c r="B803" s="21">
        <v>15</v>
      </c>
    </row>
    <row r="804" spans="1:2" x14ac:dyDescent="0.25">
      <c r="A804" s="20">
        <v>92283</v>
      </c>
      <c r="B804" s="21">
        <v>15</v>
      </c>
    </row>
    <row r="805" spans="1:2" x14ac:dyDescent="0.25">
      <c r="A805" s="20">
        <v>92284</v>
      </c>
      <c r="B805" s="21">
        <v>14</v>
      </c>
    </row>
    <row r="806" spans="1:2" x14ac:dyDescent="0.25">
      <c r="A806" s="20">
        <v>92285</v>
      </c>
      <c r="B806" s="21">
        <v>14</v>
      </c>
    </row>
    <row r="807" spans="1:2" x14ac:dyDescent="0.25">
      <c r="A807" s="20">
        <v>92286</v>
      </c>
      <c r="B807" s="21">
        <v>14</v>
      </c>
    </row>
    <row r="808" spans="1:2" x14ac:dyDescent="0.25">
      <c r="A808" s="20">
        <v>92292</v>
      </c>
      <c r="B808" s="21">
        <v>15</v>
      </c>
    </row>
    <row r="809" spans="1:2" x14ac:dyDescent="0.25">
      <c r="A809" s="20">
        <v>92301</v>
      </c>
      <c r="B809" s="21">
        <v>14</v>
      </c>
    </row>
    <row r="810" spans="1:2" x14ac:dyDescent="0.25">
      <c r="A810" s="20">
        <v>92304</v>
      </c>
      <c r="B810" s="21">
        <v>15</v>
      </c>
    </row>
    <row r="811" spans="1:2" x14ac:dyDescent="0.25">
      <c r="A811" s="20">
        <v>92305</v>
      </c>
      <c r="B811" s="21">
        <v>16</v>
      </c>
    </row>
    <row r="812" spans="1:2" x14ac:dyDescent="0.25">
      <c r="A812" s="20">
        <v>92307</v>
      </c>
      <c r="B812" s="21">
        <v>14</v>
      </c>
    </row>
    <row r="813" spans="1:2" x14ac:dyDescent="0.25">
      <c r="A813" s="20">
        <v>92308</v>
      </c>
      <c r="B813" s="21">
        <v>14</v>
      </c>
    </row>
    <row r="814" spans="1:2" x14ac:dyDescent="0.25">
      <c r="A814" s="20">
        <v>92309</v>
      </c>
      <c r="B814" s="21">
        <v>14</v>
      </c>
    </row>
    <row r="815" spans="1:2" x14ac:dyDescent="0.25">
      <c r="A815" s="20">
        <v>92310</v>
      </c>
      <c r="B815" s="21">
        <v>14</v>
      </c>
    </row>
    <row r="816" spans="1:2" x14ac:dyDescent="0.25">
      <c r="A816" s="20">
        <v>92311</v>
      </c>
      <c r="B816" s="21">
        <v>14</v>
      </c>
    </row>
    <row r="817" spans="1:2" x14ac:dyDescent="0.25">
      <c r="A817" s="20">
        <v>92312</v>
      </c>
      <c r="B817" s="21">
        <v>14</v>
      </c>
    </row>
    <row r="818" spans="1:2" x14ac:dyDescent="0.25">
      <c r="A818" s="20">
        <v>92313</v>
      </c>
      <c r="B818" s="21">
        <v>10</v>
      </c>
    </row>
    <row r="819" spans="1:2" x14ac:dyDescent="0.25">
      <c r="A819" s="20">
        <v>92314</v>
      </c>
      <c r="B819" s="21">
        <v>16</v>
      </c>
    </row>
    <row r="820" spans="1:2" x14ac:dyDescent="0.25">
      <c r="A820" s="20">
        <v>92315</v>
      </c>
      <c r="B820" s="21">
        <v>16</v>
      </c>
    </row>
    <row r="821" spans="1:2" x14ac:dyDescent="0.25">
      <c r="A821" s="20">
        <v>92316</v>
      </c>
      <c r="B821" s="21">
        <v>10</v>
      </c>
    </row>
    <row r="822" spans="1:2" x14ac:dyDescent="0.25">
      <c r="A822" s="20">
        <v>92317</v>
      </c>
      <c r="B822" s="21">
        <v>16</v>
      </c>
    </row>
    <row r="823" spans="1:2" x14ac:dyDescent="0.25">
      <c r="A823" s="20">
        <v>92318</v>
      </c>
      <c r="B823" s="21">
        <v>10</v>
      </c>
    </row>
    <row r="824" spans="1:2" x14ac:dyDescent="0.25">
      <c r="A824" s="20">
        <v>92320</v>
      </c>
      <c r="B824" s="21">
        <v>10</v>
      </c>
    </row>
    <row r="825" spans="1:2" x14ac:dyDescent="0.25">
      <c r="A825" s="20">
        <v>92321</v>
      </c>
      <c r="B825" s="21">
        <v>16</v>
      </c>
    </row>
    <row r="826" spans="1:2" x14ac:dyDescent="0.25">
      <c r="A826" s="20">
        <v>92322</v>
      </c>
      <c r="B826" s="21">
        <v>16</v>
      </c>
    </row>
    <row r="827" spans="1:2" x14ac:dyDescent="0.25">
      <c r="A827" s="20">
        <v>92323</v>
      </c>
      <c r="B827" s="21">
        <v>14</v>
      </c>
    </row>
    <row r="828" spans="1:2" x14ac:dyDescent="0.25">
      <c r="A828" s="20">
        <v>92324</v>
      </c>
      <c r="B828" s="21">
        <v>10</v>
      </c>
    </row>
    <row r="829" spans="1:2" x14ac:dyDescent="0.25">
      <c r="A829" s="20">
        <v>92325</v>
      </c>
      <c r="B829" s="21">
        <v>16</v>
      </c>
    </row>
    <row r="830" spans="1:2" x14ac:dyDescent="0.25">
      <c r="A830" s="20">
        <v>92326</v>
      </c>
      <c r="B830" s="21">
        <v>16</v>
      </c>
    </row>
    <row r="831" spans="1:2" x14ac:dyDescent="0.25">
      <c r="A831" s="20">
        <v>92327</v>
      </c>
      <c r="B831" s="21">
        <v>14</v>
      </c>
    </row>
    <row r="832" spans="1:2" x14ac:dyDescent="0.25">
      <c r="A832" s="20">
        <v>92328</v>
      </c>
      <c r="B832" s="21">
        <v>14</v>
      </c>
    </row>
    <row r="833" spans="1:2" x14ac:dyDescent="0.25">
      <c r="A833" s="20">
        <v>92329</v>
      </c>
      <c r="B833" s="21">
        <v>14</v>
      </c>
    </row>
    <row r="834" spans="1:2" x14ac:dyDescent="0.25">
      <c r="A834" s="20">
        <v>92332</v>
      </c>
      <c r="B834" s="21">
        <v>14</v>
      </c>
    </row>
    <row r="835" spans="1:2" x14ac:dyDescent="0.25">
      <c r="A835" s="20">
        <v>92333</v>
      </c>
      <c r="B835" s="21">
        <v>16</v>
      </c>
    </row>
    <row r="836" spans="1:2" x14ac:dyDescent="0.25">
      <c r="A836" s="20">
        <v>92334</v>
      </c>
      <c r="B836" s="21">
        <v>10</v>
      </c>
    </row>
    <row r="837" spans="1:2" x14ac:dyDescent="0.25">
      <c r="A837" s="20">
        <v>92335</v>
      </c>
      <c r="B837" s="21">
        <v>10</v>
      </c>
    </row>
    <row r="838" spans="1:2" x14ac:dyDescent="0.25">
      <c r="A838" s="20">
        <v>92336</v>
      </c>
      <c r="B838" s="21">
        <v>10</v>
      </c>
    </row>
    <row r="839" spans="1:2" x14ac:dyDescent="0.25">
      <c r="A839" s="20">
        <v>92337</v>
      </c>
      <c r="B839" s="21">
        <v>10</v>
      </c>
    </row>
    <row r="840" spans="1:2" x14ac:dyDescent="0.25">
      <c r="A840" s="20">
        <v>92338</v>
      </c>
      <c r="B840" s="21">
        <v>14</v>
      </c>
    </row>
    <row r="841" spans="1:2" x14ac:dyDescent="0.25">
      <c r="A841" s="20">
        <v>92339</v>
      </c>
      <c r="B841" s="21">
        <v>16</v>
      </c>
    </row>
    <row r="842" spans="1:2" x14ac:dyDescent="0.25">
      <c r="A842" s="20">
        <v>92340</v>
      </c>
      <c r="B842" s="21">
        <v>14</v>
      </c>
    </row>
    <row r="843" spans="1:2" x14ac:dyDescent="0.25">
      <c r="A843" s="20">
        <v>92341</v>
      </c>
      <c r="B843" s="21">
        <v>16</v>
      </c>
    </row>
    <row r="844" spans="1:2" x14ac:dyDescent="0.25">
      <c r="A844" s="20">
        <v>92342</v>
      </c>
      <c r="B844" s="21">
        <v>14</v>
      </c>
    </row>
    <row r="845" spans="1:2" x14ac:dyDescent="0.25">
      <c r="A845" s="20">
        <v>92345</v>
      </c>
      <c r="B845" s="21">
        <v>14</v>
      </c>
    </row>
    <row r="846" spans="1:2" x14ac:dyDescent="0.25">
      <c r="A846" s="20">
        <v>92346</v>
      </c>
      <c r="B846" s="21">
        <v>10</v>
      </c>
    </row>
    <row r="847" spans="1:2" x14ac:dyDescent="0.25">
      <c r="A847" s="20">
        <v>92347</v>
      </c>
      <c r="B847" s="21">
        <v>14</v>
      </c>
    </row>
    <row r="848" spans="1:2" x14ac:dyDescent="0.25">
      <c r="A848" s="20">
        <v>92350</v>
      </c>
      <c r="B848" s="21">
        <v>10</v>
      </c>
    </row>
    <row r="849" spans="1:2" x14ac:dyDescent="0.25">
      <c r="A849" s="20">
        <v>92352</v>
      </c>
      <c r="B849" s="21">
        <v>16</v>
      </c>
    </row>
    <row r="850" spans="1:2" x14ac:dyDescent="0.25">
      <c r="A850" s="20">
        <v>92354</v>
      </c>
      <c r="B850" s="21">
        <v>10</v>
      </c>
    </row>
    <row r="851" spans="1:2" x14ac:dyDescent="0.25">
      <c r="A851" s="20">
        <v>92356</v>
      </c>
      <c r="B851" s="21">
        <v>14</v>
      </c>
    </row>
    <row r="852" spans="1:2" x14ac:dyDescent="0.25">
      <c r="A852" s="20">
        <v>92357</v>
      </c>
      <c r="B852" s="21">
        <v>10</v>
      </c>
    </row>
    <row r="853" spans="1:2" x14ac:dyDescent="0.25">
      <c r="A853" s="20">
        <v>92358</v>
      </c>
      <c r="B853" s="21">
        <v>16</v>
      </c>
    </row>
    <row r="854" spans="1:2" x14ac:dyDescent="0.25">
      <c r="A854" s="20">
        <v>92359</v>
      </c>
      <c r="B854" s="21">
        <v>16</v>
      </c>
    </row>
    <row r="855" spans="1:2" x14ac:dyDescent="0.25">
      <c r="A855" s="20">
        <v>92363</v>
      </c>
      <c r="B855" s="21">
        <v>15</v>
      </c>
    </row>
    <row r="856" spans="1:2" x14ac:dyDescent="0.25">
      <c r="A856" s="20">
        <v>92364</v>
      </c>
      <c r="B856" s="21">
        <v>14</v>
      </c>
    </row>
    <row r="857" spans="1:2" x14ac:dyDescent="0.25">
      <c r="A857" s="20">
        <v>92365</v>
      </c>
      <c r="B857" s="21">
        <v>14</v>
      </c>
    </row>
    <row r="858" spans="1:2" x14ac:dyDescent="0.25">
      <c r="A858" s="20">
        <v>92366</v>
      </c>
      <c r="B858" s="21">
        <v>14</v>
      </c>
    </row>
    <row r="859" spans="1:2" x14ac:dyDescent="0.25">
      <c r="A859" s="20">
        <v>92368</v>
      </c>
      <c r="B859" s="21">
        <v>14</v>
      </c>
    </row>
    <row r="860" spans="1:2" x14ac:dyDescent="0.25">
      <c r="A860" s="20">
        <v>92369</v>
      </c>
      <c r="B860" s="21">
        <v>10</v>
      </c>
    </row>
    <row r="861" spans="1:2" x14ac:dyDescent="0.25">
      <c r="A861" s="20">
        <v>92371</v>
      </c>
      <c r="B861" s="21">
        <v>14</v>
      </c>
    </row>
    <row r="862" spans="1:2" x14ac:dyDescent="0.25">
      <c r="A862" s="20">
        <v>92372</v>
      </c>
      <c r="B862" s="21">
        <v>14</v>
      </c>
    </row>
    <row r="863" spans="1:2" x14ac:dyDescent="0.25">
      <c r="A863" s="20">
        <v>92373</v>
      </c>
      <c r="B863" s="21">
        <v>10</v>
      </c>
    </row>
    <row r="864" spans="1:2" x14ac:dyDescent="0.25">
      <c r="A864" s="20">
        <v>92374</v>
      </c>
      <c r="B864" s="21">
        <v>10</v>
      </c>
    </row>
    <row r="865" spans="1:2" x14ac:dyDescent="0.25">
      <c r="A865" s="20">
        <v>92375</v>
      </c>
      <c r="B865" s="21">
        <v>10</v>
      </c>
    </row>
    <row r="866" spans="1:2" x14ac:dyDescent="0.25">
      <c r="A866" s="20">
        <v>92376</v>
      </c>
      <c r="B866" s="21">
        <v>10</v>
      </c>
    </row>
    <row r="867" spans="1:2" x14ac:dyDescent="0.25">
      <c r="A867" s="20">
        <v>92377</v>
      </c>
      <c r="B867" s="21">
        <v>10</v>
      </c>
    </row>
    <row r="868" spans="1:2" x14ac:dyDescent="0.25">
      <c r="A868" s="20">
        <v>92378</v>
      </c>
      <c r="B868" s="21">
        <v>16</v>
      </c>
    </row>
    <row r="869" spans="1:2" x14ac:dyDescent="0.25">
      <c r="A869" s="20">
        <v>92382</v>
      </c>
      <c r="B869" s="21">
        <v>16</v>
      </c>
    </row>
    <row r="870" spans="1:2" x14ac:dyDescent="0.25">
      <c r="A870" s="20">
        <v>92384</v>
      </c>
      <c r="B870" s="21">
        <v>14</v>
      </c>
    </row>
    <row r="871" spans="1:2" x14ac:dyDescent="0.25">
      <c r="A871" s="20">
        <v>92385</v>
      </c>
      <c r="B871" s="21">
        <v>16</v>
      </c>
    </row>
    <row r="872" spans="1:2" x14ac:dyDescent="0.25">
      <c r="A872" s="20">
        <v>92386</v>
      </c>
      <c r="B872" s="21">
        <v>16</v>
      </c>
    </row>
    <row r="873" spans="1:2" x14ac:dyDescent="0.25">
      <c r="A873" s="20">
        <v>92389</v>
      </c>
      <c r="B873" s="21">
        <v>14</v>
      </c>
    </row>
    <row r="874" spans="1:2" x14ac:dyDescent="0.25">
      <c r="A874" s="20">
        <v>92391</v>
      </c>
      <c r="B874" s="21">
        <v>16</v>
      </c>
    </row>
    <row r="875" spans="1:2" x14ac:dyDescent="0.25">
      <c r="A875" s="20">
        <v>92392</v>
      </c>
      <c r="B875" s="21">
        <v>14</v>
      </c>
    </row>
    <row r="876" spans="1:2" x14ac:dyDescent="0.25">
      <c r="A876" s="20">
        <v>92393</v>
      </c>
      <c r="B876" s="21">
        <v>14</v>
      </c>
    </row>
    <row r="877" spans="1:2" x14ac:dyDescent="0.25">
      <c r="A877" s="20">
        <v>92394</v>
      </c>
      <c r="B877" s="21">
        <v>14</v>
      </c>
    </row>
    <row r="878" spans="1:2" x14ac:dyDescent="0.25">
      <c r="A878" s="20">
        <v>92397</v>
      </c>
      <c r="B878" s="21">
        <v>16</v>
      </c>
    </row>
    <row r="879" spans="1:2" x14ac:dyDescent="0.25">
      <c r="A879" s="20">
        <v>92398</v>
      </c>
      <c r="B879" s="21">
        <v>14</v>
      </c>
    </row>
    <row r="880" spans="1:2" x14ac:dyDescent="0.25">
      <c r="A880" s="20">
        <v>92399</v>
      </c>
      <c r="B880" s="21">
        <v>10</v>
      </c>
    </row>
    <row r="881" spans="1:2" x14ac:dyDescent="0.25">
      <c r="A881" s="20">
        <v>92401</v>
      </c>
      <c r="B881" s="21">
        <v>10</v>
      </c>
    </row>
    <row r="882" spans="1:2" x14ac:dyDescent="0.25">
      <c r="A882" s="20">
        <v>92402</v>
      </c>
      <c r="B882" s="21">
        <v>16</v>
      </c>
    </row>
    <row r="883" spans="1:2" x14ac:dyDescent="0.25">
      <c r="A883" s="20">
        <v>92403</v>
      </c>
      <c r="B883" s="21">
        <v>10</v>
      </c>
    </row>
    <row r="884" spans="1:2" x14ac:dyDescent="0.25">
      <c r="A884" s="20">
        <v>92404</v>
      </c>
      <c r="B884" s="21">
        <v>16</v>
      </c>
    </row>
    <row r="885" spans="1:2" x14ac:dyDescent="0.25">
      <c r="A885" s="20">
        <v>92405</v>
      </c>
      <c r="B885" s="21">
        <v>10</v>
      </c>
    </row>
    <row r="886" spans="1:2" x14ac:dyDescent="0.25">
      <c r="A886" s="20">
        <v>92406</v>
      </c>
      <c r="B886" s="21">
        <v>10</v>
      </c>
    </row>
    <row r="887" spans="1:2" x14ac:dyDescent="0.25">
      <c r="A887" s="20">
        <v>92407</v>
      </c>
      <c r="B887" s="21">
        <v>10</v>
      </c>
    </row>
    <row r="888" spans="1:2" x14ac:dyDescent="0.25">
      <c r="A888" s="20">
        <v>92408</v>
      </c>
      <c r="B888" s="21">
        <v>10</v>
      </c>
    </row>
    <row r="889" spans="1:2" x14ac:dyDescent="0.25">
      <c r="A889" s="20">
        <v>92410</v>
      </c>
      <c r="B889" s="21">
        <v>10</v>
      </c>
    </row>
    <row r="890" spans="1:2" x14ac:dyDescent="0.25">
      <c r="A890" s="20">
        <v>92411</v>
      </c>
      <c r="B890" s="21">
        <v>10</v>
      </c>
    </row>
    <row r="891" spans="1:2" x14ac:dyDescent="0.25">
      <c r="A891" s="20">
        <v>92412</v>
      </c>
      <c r="B891" s="21">
        <v>10</v>
      </c>
    </row>
    <row r="892" spans="1:2" x14ac:dyDescent="0.25">
      <c r="A892" s="20">
        <v>92413</v>
      </c>
      <c r="B892" s="21">
        <v>10</v>
      </c>
    </row>
    <row r="893" spans="1:2" x14ac:dyDescent="0.25">
      <c r="A893" s="20">
        <v>92414</v>
      </c>
      <c r="B893" s="21">
        <v>10</v>
      </c>
    </row>
    <row r="894" spans="1:2" x14ac:dyDescent="0.25">
      <c r="A894" s="20">
        <v>92415</v>
      </c>
      <c r="B894" s="21">
        <v>10</v>
      </c>
    </row>
    <row r="895" spans="1:2" x14ac:dyDescent="0.25">
      <c r="A895" s="20">
        <v>92416</v>
      </c>
      <c r="B895" s="21">
        <v>10</v>
      </c>
    </row>
    <row r="896" spans="1:2" x14ac:dyDescent="0.25">
      <c r="A896" s="20">
        <v>92418</v>
      </c>
      <c r="B896" s="21">
        <v>10</v>
      </c>
    </row>
    <row r="897" spans="1:2" x14ac:dyDescent="0.25">
      <c r="A897" s="20">
        <v>92420</v>
      </c>
      <c r="B897" s="21">
        <v>10</v>
      </c>
    </row>
    <row r="898" spans="1:2" x14ac:dyDescent="0.25">
      <c r="A898" s="20">
        <v>92423</v>
      </c>
      <c r="B898" s="21">
        <v>10</v>
      </c>
    </row>
    <row r="899" spans="1:2" x14ac:dyDescent="0.25">
      <c r="A899" s="20">
        <v>92424</v>
      </c>
      <c r="B899" s="21">
        <v>10</v>
      </c>
    </row>
    <row r="900" spans="1:2" x14ac:dyDescent="0.25">
      <c r="A900" s="20">
        <v>92427</v>
      </c>
      <c r="B900" s="21">
        <v>10</v>
      </c>
    </row>
    <row r="901" spans="1:2" x14ac:dyDescent="0.25">
      <c r="A901" s="20">
        <v>92501</v>
      </c>
      <c r="B901" s="21">
        <v>10</v>
      </c>
    </row>
    <row r="902" spans="1:2" x14ac:dyDescent="0.25">
      <c r="A902" s="20">
        <v>92502</v>
      </c>
      <c r="B902" s="21">
        <v>10</v>
      </c>
    </row>
    <row r="903" spans="1:2" x14ac:dyDescent="0.25">
      <c r="A903" s="20">
        <v>92503</v>
      </c>
      <c r="B903" s="21">
        <v>10</v>
      </c>
    </row>
    <row r="904" spans="1:2" x14ac:dyDescent="0.25">
      <c r="A904" s="20">
        <v>92504</v>
      </c>
      <c r="B904" s="21">
        <v>10</v>
      </c>
    </row>
    <row r="905" spans="1:2" x14ac:dyDescent="0.25">
      <c r="A905" s="20">
        <v>92505</v>
      </c>
      <c r="B905" s="21">
        <v>10</v>
      </c>
    </row>
    <row r="906" spans="1:2" x14ac:dyDescent="0.25">
      <c r="A906" s="20">
        <v>92506</v>
      </c>
      <c r="B906" s="21">
        <v>10</v>
      </c>
    </row>
    <row r="907" spans="1:2" x14ac:dyDescent="0.25">
      <c r="A907" s="20">
        <v>92507</v>
      </c>
      <c r="B907" s="21">
        <v>10</v>
      </c>
    </row>
    <row r="908" spans="1:2" x14ac:dyDescent="0.25">
      <c r="A908" s="20">
        <v>92508</v>
      </c>
      <c r="B908" s="21">
        <v>10</v>
      </c>
    </row>
    <row r="909" spans="1:2" x14ac:dyDescent="0.25">
      <c r="A909" s="20">
        <v>92509</v>
      </c>
      <c r="B909" s="21">
        <v>10</v>
      </c>
    </row>
    <row r="910" spans="1:2" x14ac:dyDescent="0.25">
      <c r="A910" s="20">
        <v>92513</v>
      </c>
      <c r="B910" s="21">
        <v>10</v>
      </c>
    </row>
    <row r="911" spans="1:2" x14ac:dyDescent="0.25">
      <c r="A911" s="20">
        <v>92514</v>
      </c>
      <c r="B911" s="21">
        <v>10</v>
      </c>
    </row>
    <row r="912" spans="1:2" x14ac:dyDescent="0.25">
      <c r="A912" s="20">
        <v>92515</v>
      </c>
      <c r="B912" s="21">
        <v>10</v>
      </c>
    </row>
    <row r="913" spans="1:2" x14ac:dyDescent="0.25">
      <c r="A913" s="20">
        <v>92516</v>
      </c>
      <c r="B913" s="21">
        <v>10</v>
      </c>
    </row>
    <row r="914" spans="1:2" x14ac:dyDescent="0.25">
      <c r="A914" s="20">
        <v>92517</v>
      </c>
      <c r="B914" s="21">
        <v>10</v>
      </c>
    </row>
    <row r="915" spans="1:2" x14ac:dyDescent="0.25">
      <c r="A915" s="20">
        <v>92518</v>
      </c>
      <c r="B915" s="21">
        <v>10</v>
      </c>
    </row>
    <row r="916" spans="1:2" x14ac:dyDescent="0.25">
      <c r="A916" s="20">
        <v>92519</v>
      </c>
      <c r="B916" s="21">
        <v>10</v>
      </c>
    </row>
    <row r="917" spans="1:2" x14ac:dyDescent="0.25">
      <c r="A917" s="20">
        <v>92521</v>
      </c>
      <c r="B917" s="21">
        <v>10</v>
      </c>
    </row>
    <row r="918" spans="1:2" x14ac:dyDescent="0.25">
      <c r="A918" s="20">
        <v>92522</v>
      </c>
      <c r="B918" s="21">
        <v>10</v>
      </c>
    </row>
    <row r="919" spans="1:2" x14ac:dyDescent="0.25">
      <c r="A919" s="20">
        <v>92530</v>
      </c>
      <c r="B919" s="21">
        <v>10</v>
      </c>
    </row>
    <row r="920" spans="1:2" x14ac:dyDescent="0.25">
      <c r="A920" s="20">
        <v>92531</v>
      </c>
      <c r="B920" s="21">
        <v>10</v>
      </c>
    </row>
    <row r="921" spans="1:2" x14ac:dyDescent="0.25">
      <c r="A921" s="20">
        <v>92532</v>
      </c>
      <c r="B921" s="21">
        <v>10</v>
      </c>
    </row>
    <row r="922" spans="1:2" x14ac:dyDescent="0.25">
      <c r="A922" s="20">
        <v>92536</v>
      </c>
      <c r="B922" s="21">
        <v>15</v>
      </c>
    </row>
    <row r="923" spans="1:2" x14ac:dyDescent="0.25">
      <c r="A923" s="20">
        <v>92539</v>
      </c>
      <c r="B923" s="21">
        <v>16</v>
      </c>
    </row>
    <row r="924" spans="1:2" x14ac:dyDescent="0.25">
      <c r="A924" s="20">
        <v>92543</v>
      </c>
      <c r="B924" s="21">
        <v>10</v>
      </c>
    </row>
    <row r="925" spans="1:2" x14ac:dyDescent="0.25">
      <c r="A925" s="20">
        <v>92544</v>
      </c>
      <c r="B925" s="21">
        <v>10</v>
      </c>
    </row>
    <row r="926" spans="1:2" x14ac:dyDescent="0.25">
      <c r="A926" s="20">
        <v>92545</v>
      </c>
      <c r="B926" s="21">
        <v>10</v>
      </c>
    </row>
    <row r="927" spans="1:2" x14ac:dyDescent="0.25">
      <c r="A927" s="20">
        <v>92546</v>
      </c>
      <c r="B927" s="21">
        <v>10</v>
      </c>
    </row>
    <row r="928" spans="1:2" x14ac:dyDescent="0.25">
      <c r="A928" s="20">
        <v>92548</v>
      </c>
      <c r="B928" s="21">
        <v>10</v>
      </c>
    </row>
    <row r="929" spans="1:2" x14ac:dyDescent="0.25">
      <c r="A929" s="20">
        <v>92549</v>
      </c>
      <c r="B929" s="21">
        <v>16</v>
      </c>
    </row>
    <row r="930" spans="1:2" x14ac:dyDescent="0.25">
      <c r="A930" s="20">
        <v>92551</v>
      </c>
      <c r="B930" s="21">
        <v>10</v>
      </c>
    </row>
    <row r="931" spans="1:2" x14ac:dyDescent="0.25">
      <c r="A931" s="20">
        <v>92552</v>
      </c>
      <c r="B931" s="21">
        <v>10</v>
      </c>
    </row>
    <row r="932" spans="1:2" x14ac:dyDescent="0.25">
      <c r="A932" s="20">
        <v>92553</v>
      </c>
      <c r="B932" s="21">
        <v>10</v>
      </c>
    </row>
    <row r="933" spans="1:2" x14ac:dyDescent="0.25">
      <c r="A933" s="20">
        <v>92554</v>
      </c>
      <c r="B933" s="21">
        <v>10</v>
      </c>
    </row>
    <row r="934" spans="1:2" x14ac:dyDescent="0.25">
      <c r="A934" s="20">
        <v>92555</v>
      </c>
      <c r="B934" s="21">
        <v>10</v>
      </c>
    </row>
    <row r="935" spans="1:2" x14ac:dyDescent="0.25">
      <c r="A935" s="20">
        <v>92556</v>
      </c>
      <c r="B935" s="21">
        <v>10</v>
      </c>
    </row>
    <row r="936" spans="1:2" x14ac:dyDescent="0.25">
      <c r="A936" s="20">
        <v>92557</v>
      </c>
      <c r="B936" s="21">
        <v>10</v>
      </c>
    </row>
    <row r="937" spans="1:2" x14ac:dyDescent="0.25">
      <c r="A937" s="20">
        <v>92561</v>
      </c>
      <c r="B937" s="21">
        <v>16</v>
      </c>
    </row>
    <row r="938" spans="1:2" x14ac:dyDescent="0.25">
      <c r="A938" s="20">
        <v>92562</v>
      </c>
      <c r="B938" s="21">
        <v>10</v>
      </c>
    </row>
    <row r="939" spans="1:2" x14ac:dyDescent="0.25">
      <c r="A939" s="20">
        <v>92563</v>
      </c>
      <c r="B939" s="21">
        <v>10</v>
      </c>
    </row>
    <row r="940" spans="1:2" x14ac:dyDescent="0.25">
      <c r="A940" s="20">
        <v>92564</v>
      </c>
      <c r="B940" s="21">
        <v>10</v>
      </c>
    </row>
    <row r="941" spans="1:2" x14ac:dyDescent="0.25">
      <c r="A941" s="20">
        <v>92567</v>
      </c>
      <c r="B941" s="21">
        <v>10</v>
      </c>
    </row>
    <row r="942" spans="1:2" x14ac:dyDescent="0.25">
      <c r="A942" s="20">
        <v>92570</v>
      </c>
      <c r="B942" s="21">
        <v>10</v>
      </c>
    </row>
    <row r="943" spans="1:2" x14ac:dyDescent="0.25">
      <c r="A943" s="20">
        <v>92571</v>
      </c>
      <c r="B943" s="21">
        <v>10</v>
      </c>
    </row>
    <row r="944" spans="1:2" x14ac:dyDescent="0.25">
      <c r="A944" s="20">
        <v>92572</v>
      </c>
      <c r="B944" s="21">
        <v>10</v>
      </c>
    </row>
    <row r="945" spans="1:2" x14ac:dyDescent="0.25">
      <c r="A945" s="20">
        <v>92581</v>
      </c>
      <c r="B945" s="21">
        <v>10</v>
      </c>
    </row>
    <row r="946" spans="1:2" x14ac:dyDescent="0.25">
      <c r="A946" s="20">
        <v>92582</v>
      </c>
      <c r="B946" s="21">
        <v>10</v>
      </c>
    </row>
    <row r="947" spans="1:2" x14ac:dyDescent="0.25">
      <c r="A947" s="20">
        <v>92583</v>
      </c>
      <c r="B947" s="21">
        <v>10</v>
      </c>
    </row>
    <row r="948" spans="1:2" x14ac:dyDescent="0.25">
      <c r="A948" s="20">
        <v>92584</v>
      </c>
      <c r="B948" s="21">
        <v>10</v>
      </c>
    </row>
    <row r="949" spans="1:2" x14ac:dyDescent="0.25">
      <c r="A949" s="20">
        <v>92585</v>
      </c>
      <c r="B949" s="21">
        <v>10</v>
      </c>
    </row>
    <row r="950" spans="1:2" x14ac:dyDescent="0.25">
      <c r="A950" s="20">
        <v>92586</v>
      </c>
      <c r="B950" s="21">
        <v>10</v>
      </c>
    </row>
    <row r="951" spans="1:2" x14ac:dyDescent="0.25">
      <c r="A951" s="20">
        <v>92587</v>
      </c>
      <c r="B951" s="21">
        <v>10</v>
      </c>
    </row>
    <row r="952" spans="1:2" x14ac:dyDescent="0.25">
      <c r="A952" s="20">
        <v>92589</v>
      </c>
      <c r="B952" s="21">
        <v>10</v>
      </c>
    </row>
    <row r="953" spans="1:2" x14ac:dyDescent="0.25">
      <c r="A953" s="20">
        <v>92590</v>
      </c>
      <c r="B953" s="21">
        <v>10</v>
      </c>
    </row>
    <row r="954" spans="1:2" x14ac:dyDescent="0.25">
      <c r="A954" s="20">
        <v>92591</v>
      </c>
      <c r="B954" s="21">
        <v>10</v>
      </c>
    </row>
    <row r="955" spans="1:2" x14ac:dyDescent="0.25">
      <c r="A955" s="20">
        <v>92592</v>
      </c>
      <c r="B955" s="21">
        <v>10</v>
      </c>
    </row>
    <row r="956" spans="1:2" x14ac:dyDescent="0.25">
      <c r="A956" s="20">
        <v>92593</v>
      </c>
      <c r="B956" s="21">
        <v>10</v>
      </c>
    </row>
    <row r="957" spans="1:2" x14ac:dyDescent="0.25">
      <c r="A957" s="20">
        <v>92595</v>
      </c>
      <c r="B957" s="21">
        <v>10</v>
      </c>
    </row>
    <row r="958" spans="1:2" x14ac:dyDescent="0.25">
      <c r="A958" s="20">
        <v>92596</v>
      </c>
      <c r="B958" s="21">
        <v>10</v>
      </c>
    </row>
    <row r="959" spans="1:2" x14ac:dyDescent="0.25">
      <c r="A959" s="20">
        <v>92599</v>
      </c>
      <c r="B959" s="21">
        <v>10</v>
      </c>
    </row>
    <row r="960" spans="1:2" x14ac:dyDescent="0.25">
      <c r="A960" s="20">
        <v>92602</v>
      </c>
      <c r="B960" s="21">
        <v>8</v>
      </c>
    </row>
    <row r="961" spans="1:2" x14ac:dyDescent="0.25">
      <c r="A961" s="20">
        <v>92603</v>
      </c>
      <c r="B961" s="21">
        <v>8</v>
      </c>
    </row>
    <row r="962" spans="1:2" x14ac:dyDescent="0.25">
      <c r="A962" s="20">
        <v>92604</v>
      </c>
      <c r="B962" s="21">
        <v>8</v>
      </c>
    </row>
    <row r="963" spans="1:2" x14ac:dyDescent="0.25">
      <c r="A963" s="20">
        <v>92605</v>
      </c>
      <c r="B963" s="21">
        <v>6</v>
      </c>
    </row>
    <row r="964" spans="1:2" x14ac:dyDescent="0.25">
      <c r="A964" s="20">
        <v>92606</v>
      </c>
      <c r="B964" s="21">
        <v>8</v>
      </c>
    </row>
    <row r="965" spans="1:2" x14ac:dyDescent="0.25">
      <c r="A965" s="20">
        <v>92607</v>
      </c>
      <c r="B965" s="21">
        <v>6</v>
      </c>
    </row>
    <row r="966" spans="1:2" x14ac:dyDescent="0.25">
      <c r="A966" s="20">
        <v>92610</v>
      </c>
      <c r="B966" s="21">
        <v>8</v>
      </c>
    </row>
    <row r="967" spans="1:2" x14ac:dyDescent="0.25">
      <c r="A967" s="20">
        <v>92612</v>
      </c>
      <c r="B967" s="21">
        <v>8</v>
      </c>
    </row>
    <row r="968" spans="1:2" x14ac:dyDescent="0.25">
      <c r="A968" s="20">
        <v>92614</v>
      </c>
      <c r="B968" s="21">
        <v>8</v>
      </c>
    </row>
    <row r="969" spans="1:2" x14ac:dyDescent="0.25">
      <c r="A969" s="20">
        <v>92615</v>
      </c>
      <c r="B969" s="21">
        <v>6</v>
      </c>
    </row>
    <row r="970" spans="1:2" x14ac:dyDescent="0.25">
      <c r="A970" s="20">
        <v>92616</v>
      </c>
      <c r="B970" s="21">
        <v>6</v>
      </c>
    </row>
    <row r="971" spans="1:2" x14ac:dyDescent="0.25">
      <c r="A971" s="20">
        <v>92618</v>
      </c>
      <c r="B971" s="21">
        <v>8</v>
      </c>
    </row>
    <row r="972" spans="1:2" x14ac:dyDescent="0.25">
      <c r="A972" s="20">
        <v>92619</v>
      </c>
      <c r="B972" s="21">
        <v>8</v>
      </c>
    </row>
    <row r="973" spans="1:2" x14ac:dyDescent="0.25">
      <c r="A973" s="20">
        <v>92620</v>
      </c>
      <c r="B973" s="21">
        <v>8</v>
      </c>
    </row>
    <row r="974" spans="1:2" x14ac:dyDescent="0.25">
      <c r="A974" s="20">
        <v>92623</v>
      </c>
      <c r="B974" s="21">
        <v>8</v>
      </c>
    </row>
    <row r="975" spans="1:2" x14ac:dyDescent="0.25">
      <c r="A975" s="20">
        <v>92624</v>
      </c>
      <c r="B975" s="21">
        <v>6</v>
      </c>
    </row>
    <row r="976" spans="1:2" x14ac:dyDescent="0.25">
      <c r="A976" s="20">
        <v>92625</v>
      </c>
      <c r="B976" s="21">
        <v>6</v>
      </c>
    </row>
    <row r="977" spans="1:2" x14ac:dyDescent="0.25">
      <c r="A977" s="20">
        <v>92626</v>
      </c>
      <c r="B977" s="21">
        <v>6</v>
      </c>
    </row>
    <row r="978" spans="1:2" x14ac:dyDescent="0.25">
      <c r="A978" s="20">
        <v>92627</v>
      </c>
      <c r="B978" s="21">
        <v>6</v>
      </c>
    </row>
    <row r="979" spans="1:2" x14ac:dyDescent="0.25">
      <c r="A979" s="20">
        <v>92628</v>
      </c>
      <c r="B979" s="21">
        <v>6</v>
      </c>
    </row>
    <row r="980" spans="1:2" x14ac:dyDescent="0.25">
      <c r="A980" s="20">
        <v>92629</v>
      </c>
      <c r="B980" s="21">
        <v>6</v>
      </c>
    </row>
    <row r="981" spans="1:2" x14ac:dyDescent="0.25">
      <c r="A981" s="20">
        <v>92630</v>
      </c>
      <c r="B981" s="21">
        <v>8</v>
      </c>
    </row>
    <row r="982" spans="1:2" x14ac:dyDescent="0.25">
      <c r="A982" s="20">
        <v>92646</v>
      </c>
      <c r="B982" s="21">
        <v>6</v>
      </c>
    </row>
    <row r="983" spans="1:2" x14ac:dyDescent="0.25">
      <c r="A983" s="20">
        <v>92647</v>
      </c>
      <c r="B983" s="21">
        <v>6</v>
      </c>
    </row>
    <row r="984" spans="1:2" x14ac:dyDescent="0.25">
      <c r="A984" s="20">
        <v>92648</v>
      </c>
      <c r="B984" s="21">
        <v>6</v>
      </c>
    </row>
    <row r="985" spans="1:2" x14ac:dyDescent="0.25">
      <c r="A985" s="20">
        <v>92649</v>
      </c>
      <c r="B985" s="21">
        <v>6</v>
      </c>
    </row>
    <row r="986" spans="1:2" x14ac:dyDescent="0.25">
      <c r="A986" s="20">
        <v>92650</v>
      </c>
      <c r="B986" s="21">
        <v>8</v>
      </c>
    </row>
    <row r="987" spans="1:2" x14ac:dyDescent="0.25">
      <c r="A987" s="20">
        <v>92651</v>
      </c>
      <c r="B987" s="21">
        <v>6</v>
      </c>
    </row>
    <row r="988" spans="1:2" x14ac:dyDescent="0.25">
      <c r="A988" s="20">
        <v>92652</v>
      </c>
      <c r="B988" s="21">
        <v>6</v>
      </c>
    </row>
    <row r="989" spans="1:2" x14ac:dyDescent="0.25">
      <c r="A989" s="20">
        <v>92653</v>
      </c>
      <c r="B989" s="21">
        <v>6</v>
      </c>
    </row>
    <row r="990" spans="1:2" x14ac:dyDescent="0.25">
      <c r="A990" s="20">
        <v>92654</v>
      </c>
      <c r="B990" s="21">
        <v>8</v>
      </c>
    </row>
    <row r="991" spans="1:2" x14ac:dyDescent="0.25">
      <c r="A991" s="20">
        <v>92655</v>
      </c>
      <c r="B991" s="21">
        <v>6</v>
      </c>
    </row>
    <row r="992" spans="1:2" x14ac:dyDescent="0.25">
      <c r="A992" s="20">
        <v>92656</v>
      </c>
      <c r="B992" s="21">
        <v>6</v>
      </c>
    </row>
    <row r="993" spans="1:2" x14ac:dyDescent="0.25">
      <c r="A993" s="20">
        <v>92657</v>
      </c>
      <c r="B993" s="21">
        <v>6</v>
      </c>
    </row>
    <row r="994" spans="1:2" x14ac:dyDescent="0.25">
      <c r="A994" s="20">
        <v>92658</v>
      </c>
      <c r="B994" s="21">
        <v>6</v>
      </c>
    </row>
    <row r="995" spans="1:2" x14ac:dyDescent="0.25">
      <c r="A995" s="20">
        <v>92659</v>
      </c>
      <c r="B995" s="21">
        <v>6</v>
      </c>
    </row>
    <row r="996" spans="1:2" x14ac:dyDescent="0.25">
      <c r="A996" s="20">
        <v>92660</v>
      </c>
      <c r="B996" s="21">
        <v>6</v>
      </c>
    </row>
    <row r="997" spans="1:2" x14ac:dyDescent="0.25">
      <c r="A997" s="20">
        <v>92661</v>
      </c>
      <c r="B997" s="21">
        <v>6</v>
      </c>
    </row>
    <row r="998" spans="1:2" x14ac:dyDescent="0.25">
      <c r="A998" s="20">
        <v>92662</v>
      </c>
      <c r="B998" s="21">
        <v>6</v>
      </c>
    </row>
    <row r="999" spans="1:2" x14ac:dyDescent="0.25">
      <c r="A999" s="20">
        <v>92663</v>
      </c>
      <c r="B999" s="21">
        <v>6</v>
      </c>
    </row>
    <row r="1000" spans="1:2" x14ac:dyDescent="0.25">
      <c r="A1000" s="20">
        <v>92672</v>
      </c>
      <c r="B1000" s="21">
        <v>6</v>
      </c>
    </row>
    <row r="1001" spans="1:2" x14ac:dyDescent="0.25">
      <c r="A1001" s="20">
        <v>92673</v>
      </c>
      <c r="B1001" s="21">
        <v>6</v>
      </c>
    </row>
    <row r="1002" spans="1:2" x14ac:dyDescent="0.25">
      <c r="A1002" s="20">
        <v>92674</v>
      </c>
      <c r="B1002" s="21">
        <v>6</v>
      </c>
    </row>
    <row r="1003" spans="1:2" x14ac:dyDescent="0.25">
      <c r="A1003" s="20">
        <v>92675</v>
      </c>
      <c r="B1003" s="21">
        <v>6</v>
      </c>
    </row>
    <row r="1004" spans="1:2" x14ac:dyDescent="0.25">
      <c r="A1004" s="20">
        <v>92676</v>
      </c>
      <c r="B1004" s="21">
        <v>8</v>
      </c>
    </row>
    <row r="1005" spans="1:2" x14ac:dyDescent="0.25">
      <c r="A1005" s="20">
        <v>92677</v>
      </c>
      <c r="B1005" s="21">
        <v>6</v>
      </c>
    </row>
    <row r="1006" spans="1:2" x14ac:dyDescent="0.25">
      <c r="A1006" s="20">
        <v>92678</v>
      </c>
      <c r="B1006" s="21">
        <v>8</v>
      </c>
    </row>
    <row r="1007" spans="1:2" x14ac:dyDescent="0.25">
      <c r="A1007" s="20">
        <v>92679</v>
      </c>
      <c r="B1007" s="21">
        <v>8</v>
      </c>
    </row>
    <row r="1008" spans="1:2" x14ac:dyDescent="0.25">
      <c r="A1008" s="20">
        <v>92683</v>
      </c>
      <c r="B1008" s="21">
        <v>6</v>
      </c>
    </row>
    <row r="1009" spans="1:2" x14ac:dyDescent="0.25">
      <c r="A1009" s="20">
        <v>92684</v>
      </c>
      <c r="B1009" s="21">
        <v>6</v>
      </c>
    </row>
    <row r="1010" spans="1:2" x14ac:dyDescent="0.25">
      <c r="A1010" s="20">
        <v>92685</v>
      </c>
      <c r="B1010" s="21">
        <v>6</v>
      </c>
    </row>
    <row r="1011" spans="1:2" x14ac:dyDescent="0.25">
      <c r="A1011" s="20">
        <v>92688</v>
      </c>
      <c r="B1011" s="21">
        <v>8</v>
      </c>
    </row>
    <row r="1012" spans="1:2" x14ac:dyDescent="0.25">
      <c r="A1012" s="20">
        <v>92690</v>
      </c>
      <c r="B1012" s="21">
        <v>6</v>
      </c>
    </row>
    <row r="1013" spans="1:2" x14ac:dyDescent="0.25">
      <c r="A1013" s="20">
        <v>92691</v>
      </c>
      <c r="B1013" s="21">
        <v>8</v>
      </c>
    </row>
    <row r="1014" spans="1:2" x14ac:dyDescent="0.25">
      <c r="A1014" s="20">
        <v>92692</v>
      </c>
      <c r="B1014" s="21">
        <v>8</v>
      </c>
    </row>
    <row r="1015" spans="1:2" x14ac:dyDescent="0.25">
      <c r="A1015" s="20">
        <v>92693</v>
      </c>
      <c r="B1015" s="21">
        <v>6</v>
      </c>
    </row>
    <row r="1016" spans="1:2" x14ac:dyDescent="0.25">
      <c r="A1016" s="20">
        <v>92694</v>
      </c>
      <c r="B1016" s="21">
        <v>8</v>
      </c>
    </row>
    <row r="1017" spans="1:2" x14ac:dyDescent="0.25">
      <c r="A1017" s="20">
        <v>92697</v>
      </c>
      <c r="B1017" s="21">
        <v>6</v>
      </c>
    </row>
    <row r="1018" spans="1:2" x14ac:dyDescent="0.25">
      <c r="A1018" s="20">
        <v>92698</v>
      </c>
      <c r="B1018" s="21">
        <v>8</v>
      </c>
    </row>
    <row r="1019" spans="1:2" x14ac:dyDescent="0.25">
      <c r="A1019" s="20">
        <v>92701</v>
      </c>
      <c r="B1019" s="21">
        <v>8</v>
      </c>
    </row>
    <row r="1020" spans="1:2" x14ac:dyDescent="0.25">
      <c r="A1020" s="20">
        <v>92702</v>
      </c>
      <c r="B1020" s="21">
        <v>8</v>
      </c>
    </row>
    <row r="1021" spans="1:2" x14ac:dyDescent="0.25">
      <c r="A1021" s="20">
        <v>92703</v>
      </c>
      <c r="B1021" s="21">
        <v>8</v>
      </c>
    </row>
    <row r="1022" spans="1:2" x14ac:dyDescent="0.25">
      <c r="A1022" s="20">
        <v>92704</v>
      </c>
      <c r="B1022" s="21">
        <v>8</v>
      </c>
    </row>
    <row r="1023" spans="1:2" x14ac:dyDescent="0.25">
      <c r="A1023" s="20">
        <v>92705</v>
      </c>
      <c r="B1023" s="21">
        <v>8</v>
      </c>
    </row>
    <row r="1024" spans="1:2" x14ac:dyDescent="0.25">
      <c r="A1024" s="20">
        <v>92706</v>
      </c>
      <c r="B1024" s="21">
        <v>8</v>
      </c>
    </row>
    <row r="1025" spans="1:2" x14ac:dyDescent="0.25">
      <c r="A1025" s="20">
        <v>92707</v>
      </c>
      <c r="B1025" s="21">
        <v>8</v>
      </c>
    </row>
    <row r="1026" spans="1:2" x14ac:dyDescent="0.25">
      <c r="A1026" s="20">
        <v>92708</v>
      </c>
      <c r="B1026" s="21">
        <v>6</v>
      </c>
    </row>
    <row r="1027" spans="1:2" x14ac:dyDescent="0.25">
      <c r="A1027" s="20">
        <v>92709</v>
      </c>
      <c r="B1027" s="21">
        <v>8</v>
      </c>
    </row>
    <row r="1028" spans="1:2" x14ac:dyDescent="0.25">
      <c r="A1028" s="20">
        <v>92710</v>
      </c>
      <c r="B1028" s="21">
        <v>8</v>
      </c>
    </row>
    <row r="1029" spans="1:2" x14ac:dyDescent="0.25">
      <c r="A1029" s="20">
        <v>92711</v>
      </c>
      <c r="B1029" s="21">
        <v>8</v>
      </c>
    </row>
    <row r="1030" spans="1:2" x14ac:dyDescent="0.25">
      <c r="A1030" s="20">
        <v>92712</v>
      </c>
      <c r="B1030" s="21">
        <v>8</v>
      </c>
    </row>
    <row r="1031" spans="1:2" x14ac:dyDescent="0.25">
      <c r="A1031" s="20">
        <v>92728</v>
      </c>
      <c r="B1031" s="21">
        <v>6</v>
      </c>
    </row>
    <row r="1032" spans="1:2" x14ac:dyDescent="0.25">
      <c r="A1032" s="20">
        <v>92735</v>
      </c>
      <c r="B1032" s="21">
        <v>8</v>
      </c>
    </row>
    <row r="1033" spans="1:2" x14ac:dyDescent="0.25">
      <c r="A1033" s="20">
        <v>92780</v>
      </c>
      <c r="B1033" s="21">
        <v>8</v>
      </c>
    </row>
    <row r="1034" spans="1:2" x14ac:dyDescent="0.25">
      <c r="A1034" s="20">
        <v>92781</v>
      </c>
      <c r="B1034" s="21">
        <v>8</v>
      </c>
    </row>
    <row r="1035" spans="1:2" x14ac:dyDescent="0.25">
      <c r="A1035" s="20">
        <v>92782</v>
      </c>
      <c r="B1035" s="21">
        <v>8</v>
      </c>
    </row>
    <row r="1036" spans="1:2" x14ac:dyDescent="0.25">
      <c r="A1036" s="20">
        <v>92799</v>
      </c>
      <c r="B1036" s="21">
        <v>6</v>
      </c>
    </row>
    <row r="1037" spans="1:2" x14ac:dyDescent="0.25">
      <c r="A1037" s="20">
        <v>92801</v>
      </c>
      <c r="B1037" s="21">
        <v>8</v>
      </c>
    </row>
    <row r="1038" spans="1:2" x14ac:dyDescent="0.25">
      <c r="A1038" s="20">
        <v>92802</v>
      </c>
      <c r="B1038" s="21">
        <v>8</v>
      </c>
    </row>
    <row r="1039" spans="1:2" x14ac:dyDescent="0.25">
      <c r="A1039" s="20">
        <v>92803</v>
      </c>
      <c r="B1039" s="21">
        <v>8</v>
      </c>
    </row>
    <row r="1040" spans="1:2" x14ac:dyDescent="0.25">
      <c r="A1040" s="20">
        <v>92804</v>
      </c>
      <c r="B1040" s="21">
        <v>8</v>
      </c>
    </row>
    <row r="1041" spans="1:2" x14ac:dyDescent="0.25">
      <c r="A1041" s="20">
        <v>92805</v>
      </c>
      <c r="B1041" s="21">
        <v>8</v>
      </c>
    </row>
    <row r="1042" spans="1:2" x14ac:dyDescent="0.25">
      <c r="A1042" s="20">
        <v>92806</v>
      </c>
      <c r="B1042" s="21">
        <v>8</v>
      </c>
    </row>
    <row r="1043" spans="1:2" x14ac:dyDescent="0.25">
      <c r="A1043" s="20">
        <v>92807</v>
      </c>
      <c r="B1043" s="21">
        <v>8</v>
      </c>
    </row>
    <row r="1044" spans="1:2" x14ac:dyDescent="0.25">
      <c r="A1044" s="20">
        <v>92808</v>
      </c>
      <c r="B1044" s="21">
        <v>8</v>
      </c>
    </row>
    <row r="1045" spans="1:2" x14ac:dyDescent="0.25">
      <c r="A1045" s="20">
        <v>92811</v>
      </c>
      <c r="B1045" s="21">
        <v>8</v>
      </c>
    </row>
    <row r="1046" spans="1:2" x14ac:dyDescent="0.25">
      <c r="A1046" s="20">
        <v>92812</v>
      </c>
      <c r="B1046" s="21">
        <v>8</v>
      </c>
    </row>
    <row r="1047" spans="1:2" x14ac:dyDescent="0.25">
      <c r="A1047" s="20">
        <v>92814</v>
      </c>
      <c r="B1047" s="21">
        <v>8</v>
      </c>
    </row>
    <row r="1048" spans="1:2" x14ac:dyDescent="0.25">
      <c r="A1048" s="20">
        <v>92815</v>
      </c>
      <c r="B1048" s="21">
        <v>8</v>
      </c>
    </row>
    <row r="1049" spans="1:2" x14ac:dyDescent="0.25">
      <c r="A1049" s="20">
        <v>92816</v>
      </c>
      <c r="B1049" s="21">
        <v>8</v>
      </c>
    </row>
    <row r="1050" spans="1:2" x14ac:dyDescent="0.25">
      <c r="A1050" s="20">
        <v>92817</v>
      </c>
      <c r="B1050" s="21">
        <v>8</v>
      </c>
    </row>
    <row r="1051" spans="1:2" x14ac:dyDescent="0.25">
      <c r="A1051" s="20">
        <v>92821</v>
      </c>
      <c r="B1051" s="21">
        <v>8</v>
      </c>
    </row>
    <row r="1052" spans="1:2" x14ac:dyDescent="0.25">
      <c r="A1052" s="20">
        <v>92822</v>
      </c>
      <c r="B1052" s="21">
        <v>8</v>
      </c>
    </row>
    <row r="1053" spans="1:2" x14ac:dyDescent="0.25">
      <c r="A1053" s="20">
        <v>92823</v>
      </c>
      <c r="B1053" s="21">
        <v>8</v>
      </c>
    </row>
    <row r="1054" spans="1:2" x14ac:dyDescent="0.25">
      <c r="A1054" s="20">
        <v>92825</v>
      </c>
      <c r="B1054" s="21">
        <v>8</v>
      </c>
    </row>
    <row r="1055" spans="1:2" x14ac:dyDescent="0.25">
      <c r="A1055" s="20">
        <v>92831</v>
      </c>
      <c r="B1055" s="21">
        <v>8</v>
      </c>
    </row>
    <row r="1056" spans="1:2" x14ac:dyDescent="0.25">
      <c r="A1056" s="20">
        <v>92832</v>
      </c>
      <c r="B1056" s="21">
        <v>8</v>
      </c>
    </row>
    <row r="1057" spans="1:2" x14ac:dyDescent="0.25">
      <c r="A1057" s="20">
        <v>92833</v>
      </c>
      <c r="B1057" s="21">
        <v>8</v>
      </c>
    </row>
    <row r="1058" spans="1:2" x14ac:dyDescent="0.25">
      <c r="A1058" s="20">
        <v>92834</v>
      </c>
      <c r="B1058" s="21">
        <v>8</v>
      </c>
    </row>
    <row r="1059" spans="1:2" x14ac:dyDescent="0.25">
      <c r="A1059" s="20">
        <v>92835</v>
      </c>
      <c r="B1059" s="21">
        <v>8</v>
      </c>
    </row>
    <row r="1060" spans="1:2" x14ac:dyDescent="0.25">
      <c r="A1060" s="20">
        <v>92836</v>
      </c>
      <c r="B1060" s="21">
        <v>8</v>
      </c>
    </row>
    <row r="1061" spans="1:2" x14ac:dyDescent="0.25">
      <c r="A1061" s="20">
        <v>92837</v>
      </c>
      <c r="B1061" s="21">
        <v>8</v>
      </c>
    </row>
    <row r="1062" spans="1:2" x14ac:dyDescent="0.25">
      <c r="A1062" s="20">
        <v>92838</v>
      </c>
      <c r="B1062" s="21">
        <v>8</v>
      </c>
    </row>
    <row r="1063" spans="1:2" x14ac:dyDescent="0.25">
      <c r="A1063" s="20">
        <v>92840</v>
      </c>
      <c r="B1063" s="21">
        <v>8</v>
      </c>
    </row>
    <row r="1064" spans="1:2" x14ac:dyDescent="0.25">
      <c r="A1064" s="20">
        <v>92841</v>
      </c>
      <c r="B1064" s="21">
        <v>8</v>
      </c>
    </row>
    <row r="1065" spans="1:2" x14ac:dyDescent="0.25">
      <c r="A1065" s="20">
        <v>92842</v>
      </c>
      <c r="B1065" s="21">
        <v>8</v>
      </c>
    </row>
    <row r="1066" spans="1:2" x14ac:dyDescent="0.25">
      <c r="A1066" s="20">
        <v>92843</v>
      </c>
      <c r="B1066" s="21">
        <v>8</v>
      </c>
    </row>
    <row r="1067" spans="1:2" x14ac:dyDescent="0.25">
      <c r="A1067" s="20">
        <v>92844</v>
      </c>
      <c r="B1067" s="21">
        <v>6</v>
      </c>
    </row>
    <row r="1068" spans="1:2" x14ac:dyDescent="0.25">
      <c r="A1068" s="20">
        <v>92845</v>
      </c>
      <c r="B1068" s="21">
        <v>8</v>
      </c>
    </row>
    <row r="1069" spans="1:2" x14ac:dyDescent="0.25">
      <c r="A1069" s="20">
        <v>92846</v>
      </c>
      <c r="B1069" s="21">
        <v>8</v>
      </c>
    </row>
    <row r="1070" spans="1:2" x14ac:dyDescent="0.25">
      <c r="A1070" s="20">
        <v>92850</v>
      </c>
      <c r="B1070" s="21">
        <v>8</v>
      </c>
    </row>
    <row r="1071" spans="1:2" x14ac:dyDescent="0.25">
      <c r="A1071" s="20">
        <v>92856</v>
      </c>
      <c r="B1071" s="21">
        <v>8</v>
      </c>
    </row>
    <row r="1072" spans="1:2" x14ac:dyDescent="0.25">
      <c r="A1072" s="20">
        <v>92857</v>
      </c>
      <c r="B1072" s="21">
        <v>8</v>
      </c>
    </row>
    <row r="1073" spans="1:2" x14ac:dyDescent="0.25">
      <c r="A1073" s="20">
        <v>92859</v>
      </c>
      <c r="B1073" s="21">
        <v>8</v>
      </c>
    </row>
    <row r="1074" spans="1:2" x14ac:dyDescent="0.25">
      <c r="A1074" s="20">
        <v>92860</v>
      </c>
      <c r="B1074" s="21">
        <v>10</v>
      </c>
    </row>
    <row r="1075" spans="1:2" x14ac:dyDescent="0.25">
      <c r="A1075" s="20">
        <v>92861</v>
      </c>
      <c r="B1075" s="21">
        <v>8</v>
      </c>
    </row>
    <row r="1076" spans="1:2" x14ac:dyDescent="0.25">
      <c r="A1076" s="20">
        <v>92862</v>
      </c>
      <c r="B1076" s="21">
        <v>8</v>
      </c>
    </row>
    <row r="1077" spans="1:2" x14ac:dyDescent="0.25">
      <c r="A1077" s="20">
        <v>92863</v>
      </c>
      <c r="B1077" s="21">
        <v>8</v>
      </c>
    </row>
    <row r="1078" spans="1:2" x14ac:dyDescent="0.25">
      <c r="A1078" s="20">
        <v>92864</v>
      </c>
      <c r="B1078" s="21">
        <v>8</v>
      </c>
    </row>
    <row r="1079" spans="1:2" x14ac:dyDescent="0.25">
      <c r="A1079" s="20">
        <v>92865</v>
      </c>
      <c r="B1079" s="21">
        <v>8</v>
      </c>
    </row>
    <row r="1080" spans="1:2" x14ac:dyDescent="0.25">
      <c r="A1080" s="20">
        <v>92866</v>
      </c>
      <c r="B1080" s="21">
        <v>8</v>
      </c>
    </row>
    <row r="1081" spans="1:2" x14ac:dyDescent="0.25">
      <c r="A1081" s="20">
        <v>92867</v>
      </c>
      <c r="B1081" s="21">
        <v>8</v>
      </c>
    </row>
    <row r="1082" spans="1:2" x14ac:dyDescent="0.25">
      <c r="A1082" s="20">
        <v>92868</v>
      </c>
      <c r="B1082" s="21">
        <v>8</v>
      </c>
    </row>
    <row r="1083" spans="1:2" x14ac:dyDescent="0.25">
      <c r="A1083" s="20">
        <v>92869</v>
      </c>
      <c r="B1083" s="21">
        <v>8</v>
      </c>
    </row>
    <row r="1084" spans="1:2" x14ac:dyDescent="0.25">
      <c r="A1084" s="20">
        <v>92870</v>
      </c>
      <c r="B1084" s="21">
        <v>8</v>
      </c>
    </row>
    <row r="1085" spans="1:2" x14ac:dyDescent="0.25">
      <c r="A1085" s="20">
        <v>92871</v>
      </c>
      <c r="B1085" s="21">
        <v>8</v>
      </c>
    </row>
    <row r="1086" spans="1:2" x14ac:dyDescent="0.25">
      <c r="A1086" s="20">
        <v>92877</v>
      </c>
      <c r="B1086" s="21">
        <v>10</v>
      </c>
    </row>
    <row r="1087" spans="1:2" x14ac:dyDescent="0.25">
      <c r="A1087" s="20">
        <v>92878</v>
      </c>
      <c r="B1087" s="21">
        <v>10</v>
      </c>
    </row>
    <row r="1088" spans="1:2" x14ac:dyDescent="0.25">
      <c r="A1088" s="20">
        <v>92879</v>
      </c>
      <c r="B1088" s="21">
        <v>10</v>
      </c>
    </row>
    <row r="1089" spans="1:2" x14ac:dyDescent="0.25">
      <c r="A1089" s="20">
        <v>92880</v>
      </c>
      <c r="B1089" s="21">
        <v>10</v>
      </c>
    </row>
    <row r="1090" spans="1:2" x14ac:dyDescent="0.25">
      <c r="A1090" s="20">
        <v>92881</v>
      </c>
      <c r="B1090" s="21">
        <v>10</v>
      </c>
    </row>
    <row r="1091" spans="1:2" x14ac:dyDescent="0.25">
      <c r="A1091" s="20">
        <v>92882</v>
      </c>
      <c r="B1091" s="21">
        <v>10</v>
      </c>
    </row>
    <row r="1092" spans="1:2" x14ac:dyDescent="0.25">
      <c r="A1092" s="20">
        <v>92883</v>
      </c>
      <c r="B1092" s="21">
        <v>10</v>
      </c>
    </row>
    <row r="1093" spans="1:2" x14ac:dyDescent="0.25">
      <c r="A1093" s="20">
        <v>92885</v>
      </c>
      <c r="B1093" s="21">
        <v>8</v>
      </c>
    </row>
    <row r="1094" spans="1:2" x14ac:dyDescent="0.25">
      <c r="A1094" s="20">
        <v>92886</v>
      </c>
      <c r="B1094" s="21">
        <v>8</v>
      </c>
    </row>
    <row r="1095" spans="1:2" x14ac:dyDescent="0.25">
      <c r="A1095" s="20">
        <v>92887</v>
      </c>
      <c r="B1095" s="21">
        <v>8</v>
      </c>
    </row>
    <row r="1096" spans="1:2" x14ac:dyDescent="0.25">
      <c r="A1096" s="20">
        <v>92899</v>
      </c>
      <c r="B1096" s="21">
        <v>8</v>
      </c>
    </row>
    <row r="1097" spans="1:2" x14ac:dyDescent="0.25">
      <c r="A1097" s="20">
        <v>93001</v>
      </c>
      <c r="B1097" s="21">
        <v>6</v>
      </c>
    </row>
    <row r="1098" spans="1:2" x14ac:dyDescent="0.25">
      <c r="A1098" s="20">
        <v>93002</v>
      </c>
      <c r="B1098" s="21">
        <v>6</v>
      </c>
    </row>
    <row r="1099" spans="1:2" x14ac:dyDescent="0.25">
      <c r="A1099" s="20">
        <v>93003</v>
      </c>
      <c r="B1099" s="21">
        <v>6</v>
      </c>
    </row>
    <row r="1100" spans="1:2" x14ac:dyDescent="0.25">
      <c r="A1100" s="20">
        <v>93004</v>
      </c>
      <c r="B1100" s="21">
        <v>6</v>
      </c>
    </row>
    <row r="1101" spans="1:2" x14ac:dyDescent="0.25">
      <c r="A1101" s="20">
        <v>93005</v>
      </c>
      <c r="B1101" s="21">
        <v>6</v>
      </c>
    </row>
    <row r="1102" spans="1:2" x14ac:dyDescent="0.25">
      <c r="A1102" s="20">
        <v>93006</v>
      </c>
      <c r="B1102" s="21">
        <v>6</v>
      </c>
    </row>
    <row r="1103" spans="1:2" x14ac:dyDescent="0.25">
      <c r="A1103" s="20">
        <v>93007</v>
      </c>
      <c r="B1103" s="21">
        <v>6</v>
      </c>
    </row>
    <row r="1104" spans="1:2" x14ac:dyDescent="0.25">
      <c r="A1104" s="20">
        <v>93009</v>
      </c>
      <c r="B1104" s="21">
        <v>6</v>
      </c>
    </row>
    <row r="1105" spans="1:2" x14ac:dyDescent="0.25">
      <c r="A1105" s="20">
        <v>93010</v>
      </c>
      <c r="B1105" s="21">
        <v>6</v>
      </c>
    </row>
    <row r="1106" spans="1:2" x14ac:dyDescent="0.25">
      <c r="A1106" s="20">
        <v>93011</v>
      </c>
      <c r="B1106" s="21">
        <v>6</v>
      </c>
    </row>
    <row r="1107" spans="1:2" x14ac:dyDescent="0.25">
      <c r="A1107" s="20">
        <v>93012</v>
      </c>
      <c r="B1107" s="21">
        <v>6</v>
      </c>
    </row>
    <row r="1108" spans="1:2" x14ac:dyDescent="0.25">
      <c r="A1108" s="20">
        <v>93013</v>
      </c>
      <c r="B1108" s="21">
        <v>6</v>
      </c>
    </row>
    <row r="1109" spans="1:2" x14ac:dyDescent="0.25">
      <c r="A1109" s="20">
        <v>93014</v>
      </c>
      <c r="B1109" s="21">
        <v>6</v>
      </c>
    </row>
    <row r="1110" spans="1:2" x14ac:dyDescent="0.25">
      <c r="A1110" s="20">
        <v>93015</v>
      </c>
      <c r="B1110" s="21">
        <v>9</v>
      </c>
    </row>
    <row r="1111" spans="1:2" x14ac:dyDescent="0.25">
      <c r="A1111" s="20">
        <v>93016</v>
      </c>
      <c r="B1111" s="21">
        <v>9</v>
      </c>
    </row>
    <row r="1112" spans="1:2" x14ac:dyDescent="0.25">
      <c r="A1112" s="20">
        <v>93020</v>
      </c>
      <c r="B1112" s="21">
        <v>9</v>
      </c>
    </row>
    <row r="1113" spans="1:2" x14ac:dyDescent="0.25">
      <c r="A1113" s="20">
        <v>93021</v>
      </c>
      <c r="B1113" s="21">
        <v>9</v>
      </c>
    </row>
    <row r="1114" spans="1:2" x14ac:dyDescent="0.25">
      <c r="A1114" s="20">
        <v>93022</v>
      </c>
      <c r="B1114" s="21">
        <v>9</v>
      </c>
    </row>
    <row r="1115" spans="1:2" x14ac:dyDescent="0.25">
      <c r="A1115" s="20">
        <v>93023</v>
      </c>
      <c r="B1115" s="21">
        <v>9</v>
      </c>
    </row>
    <row r="1116" spans="1:2" x14ac:dyDescent="0.25">
      <c r="A1116" s="20">
        <v>93024</v>
      </c>
      <c r="B1116" s="21">
        <v>9</v>
      </c>
    </row>
    <row r="1117" spans="1:2" x14ac:dyDescent="0.25">
      <c r="A1117" s="20">
        <v>93030</v>
      </c>
      <c r="B1117" s="21">
        <v>6</v>
      </c>
    </row>
    <row r="1118" spans="1:2" x14ac:dyDescent="0.25">
      <c r="A1118" s="20">
        <v>93031</v>
      </c>
      <c r="B1118" s="21">
        <v>6</v>
      </c>
    </row>
    <row r="1119" spans="1:2" x14ac:dyDescent="0.25">
      <c r="A1119" s="20">
        <v>93032</v>
      </c>
      <c r="B1119" s="21">
        <v>6</v>
      </c>
    </row>
    <row r="1120" spans="1:2" x14ac:dyDescent="0.25">
      <c r="A1120" s="20">
        <v>93033</v>
      </c>
      <c r="B1120" s="21">
        <v>6</v>
      </c>
    </row>
    <row r="1121" spans="1:2" x14ac:dyDescent="0.25">
      <c r="A1121" s="20">
        <v>93034</v>
      </c>
      <c r="B1121" s="21">
        <v>6</v>
      </c>
    </row>
    <row r="1122" spans="1:2" x14ac:dyDescent="0.25">
      <c r="A1122" s="20">
        <v>93035</v>
      </c>
      <c r="B1122" s="21">
        <v>6</v>
      </c>
    </row>
    <row r="1123" spans="1:2" x14ac:dyDescent="0.25">
      <c r="A1123" s="20">
        <v>93040</v>
      </c>
      <c r="B1123" s="21">
        <v>9</v>
      </c>
    </row>
    <row r="1124" spans="1:2" x14ac:dyDescent="0.25">
      <c r="A1124" s="20">
        <v>93041</v>
      </c>
      <c r="B1124" s="21">
        <v>6</v>
      </c>
    </row>
    <row r="1125" spans="1:2" x14ac:dyDescent="0.25">
      <c r="A1125" s="20">
        <v>93042</v>
      </c>
      <c r="B1125" s="21">
        <v>6</v>
      </c>
    </row>
    <row r="1126" spans="1:2" x14ac:dyDescent="0.25">
      <c r="A1126" s="20">
        <v>93043</v>
      </c>
      <c r="B1126" s="21">
        <v>6</v>
      </c>
    </row>
    <row r="1127" spans="1:2" x14ac:dyDescent="0.25">
      <c r="A1127" s="20">
        <v>93044</v>
      </c>
      <c r="B1127" s="21">
        <v>6</v>
      </c>
    </row>
    <row r="1128" spans="1:2" x14ac:dyDescent="0.25">
      <c r="A1128" s="20">
        <v>93060</v>
      </c>
      <c r="B1128" s="21">
        <v>9</v>
      </c>
    </row>
    <row r="1129" spans="1:2" x14ac:dyDescent="0.25">
      <c r="A1129" s="20">
        <v>93061</v>
      </c>
      <c r="B1129" s="21">
        <v>9</v>
      </c>
    </row>
    <row r="1130" spans="1:2" x14ac:dyDescent="0.25">
      <c r="A1130" s="20">
        <v>93062</v>
      </c>
      <c r="B1130" s="21">
        <v>9</v>
      </c>
    </row>
    <row r="1131" spans="1:2" x14ac:dyDescent="0.25">
      <c r="A1131" s="20">
        <v>93063</v>
      </c>
      <c r="B1131" s="21">
        <v>9</v>
      </c>
    </row>
    <row r="1132" spans="1:2" x14ac:dyDescent="0.25">
      <c r="A1132" s="20">
        <v>93064</v>
      </c>
      <c r="B1132" s="21">
        <v>9</v>
      </c>
    </row>
    <row r="1133" spans="1:2" x14ac:dyDescent="0.25">
      <c r="A1133" s="20">
        <v>93065</v>
      </c>
      <c r="B1133" s="21">
        <v>9</v>
      </c>
    </row>
    <row r="1134" spans="1:2" x14ac:dyDescent="0.25">
      <c r="A1134" s="20">
        <v>93066</v>
      </c>
      <c r="B1134" s="21">
        <v>9</v>
      </c>
    </row>
    <row r="1135" spans="1:2" x14ac:dyDescent="0.25">
      <c r="A1135" s="20">
        <v>93067</v>
      </c>
      <c r="B1135" s="21">
        <v>6</v>
      </c>
    </row>
    <row r="1136" spans="1:2" x14ac:dyDescent="0.25">
      <c r="A1136" s="20">
        <v>93093</v>
      </c>
      <c r="B1136" s="21">
        <v>9</v>
      </c>
    </row>
    <row r="1137" spans="1:2" x14ac:dyDescent="0.25">
      <c r="A1137" s="20">
        <v>93094</v>
      </c>
      <c r="B1137" s="21">
        <v>9</v>
      </c>
    </row>
    <row r="1138" spans="1:2" x14ac:dyDescent="0.25">
      <c r="A1138" s="20">
        <v>93099</v>
      </c>
      <c r="B1138" s="21">
        <v>9</v>
      </c>
    </row>
    <row r="1139" spans="1:2" x14ac:dyDescent="0.25">
      <c r="A1139" s="20">
        <v>93101</v>
      </c>
      <c r="B1139" s="21">
        <v>6</v>
      </c>
    </row>
    <row r="1140" spans="1:2" x14ac:dyDescent="0.25">
      <c r="A1140" s="20">
        <v>93102</v>
      </c>
      <c r="B1140" s="21">
        <v>6</v>
      </c>
    </row>
    <row r="1141" spans="1:2" x14ac:dyDescent="0.25">
      <c r="A1141" s="20">
        <v>93103</v>
      </c>
      <c r="B1141" s="21">
        <v>6</v>
      </c>
    </row>
    <row r="1142" spans="1:2" x14ac:dyDescent="0.25">
      <c r="A1142" s="20">
        <v>93105</v>
      </c>
      <c r="B1142" s="21">
        <v>6</v>
      </c>
    </row>
    <row r="1143" spans="1:2" x14ac:dyDescent="0.25">
      <c r="A1143" s="20">
        <v>93106</v>
      </c>
      <c r="B1143" s="21">
        <v>6</v>
      </c>
    </row>
    <row r="1144" spans="1:2" x14ac:dyDescent="0.25">
      <c r="A1144" s="20">
        <v>93107</v>
      </c>
      <c r="B1144" s="21">
        <v>6</v>
      </c>
    </row>
    <row r="1145" spans="1:2" x14ac:dyDescent="0.25">
      <c r="A1145" s="20">
        <v>93108</v>
      </c>
      <c r="B1145" s="21">
        <v>6</v>
      </c>
    </row>
    <row r="1146" spans="1:2" x14ac:dyDescent="0.25">
      <c r="A1146" s="20">
        <v>93109</v>
      </c>
      <c r="B1146" s="21">
        <v>6</v>
      </c>
    </row>
    <row r="1147" spans="1:2" x14ac:dyDescent="0.25">
      <c r="A1147" s="20">
        <v>93110</v>
      </c>
      <c r="B1147" s="21">
        <v>6</v>
      </c>
    </row>
    <row r="1148" spans="1:2" x14ac:dyDescent="0.25">
      <c r="A1148" s="20">
        <v>93111</v>
      </c>
      <c r="B1148" s="21">
        <v>6</v>
      </c>
    </row>
    <row r="1149" spans="1:2" x14ac:dyDescent="0.25">
      <c r="A1149" s="20">
        <v>93116</v>
      </c>
      <c r="B1149" s="21">
        <v>6</v>
      </c>
    </row>
    <row r="1150" spans="1:2" x14ac:dyDescent="0.25">
      <c r="A1150" s="20">
        <v>93117</v>
      </c>
      <c r="B1150" s="21">
        <v>6</v>
      </c>
    </row>
    <row r="1151" spans="1:2" x14ac:dyDescent="0.25">
      <c r="A1151" s="20">
        <v>93118</v>
      </c>
      <c r="B1151" s="21">
        <v>6</v>
      </c>
    </row>
    <row r="1152" spans="1:2" x14ac:dyDescent="0.25">
      <c r="A1152" s="20">
        <v>93120</v>
      </c>
      <c r="B1152" s="21">
        <v>6</v>
      </c>
    </row>
    <row r="1153" spans="1:2" x14ac:dyDescent="0.25">
      <c r="A1153" s="20">
        <v>93121</v>
      </c>
      <c r="B1153" s="21">
        <v>6</v>
      </c>
    </row>
    <row r="1154" spans="1:2" x14ac:dyDescent="0.25">
      <c r="A1154" s="20">
        <v>93130</v>
      </c>
      <c r="B1154" s="21">
        <v>5</v>
      </c>
    </row>
    <row r="1155" spans="1:2" x14ac:dyDescent="0.25">
      <c r="A1155" s="20">
        <v>93140</v>
      </c>
      <c r="B1155" s="21">
        <v>6</v>
      </c>
    </row>
    <row r="1156" spans="1:2" x14ac:dyDescent="0.25">
      <c r="A1156" s="20">
        <v>93150</v>
      </c>
      <c r="B1156" s="21">
        <v>6</v>
      </c>
    </row>
    <row r="1157" spans="1:2" x14ac:dyDescent="0.25">
      <c r="A1157" s="20">
        <v>93160</v>
      </c>
      <c r="B1157" s="21">
        <v>6</v>
      </c>
    </row>
    <row r="1158" spans="1:2" x14ac:dyDescent="0.25">
      <c r="A1158" s="20">
        <v>93190</v>
      </c>
      <c r="B1158" s="21">
        <v>6</v>
      </c>
    </row>
    <row r="1159" spans="1:2" x14ac:dyDescent="0.25">
      <c r="A1159" s="20">
        <v>93199</v>
      </c>
      <c r="B1159" s="21">
        <v>6</v>
      </c>
    </row>
    <row r="1160" spans="1:2" x14ac:dyDescent="0.25">
      <c r="A1160" s="20">
        <v>93201</v>
      </c>
      <c r="B1160" s="21">
        <v>13</v>
      </c>
    </row>
    <row r="1161" spans="1:2" x14ac:dyDescent="0.25">
      <c r="A1161" s="20">
        <v>93202</v>
      </c>
      <c r="B1161" s="21">
        <v>13</v>
      </c>
    </row>
    <row r="1162" spans="1:2" x14ac:dyDescent="0.25">
      <c r="A1162" s="20">
        <v>93203</v>
      </c>
      <c r="B1162" s="21">
        <v>13</v>
      </c>
    </row>
    <row r="1163" spans="1:2" x14ac:dyDescent="0.25">
      <c r="A1163" s="20">
        <v>93204</v>
      </c>
      <c r="B1163" s="21">
        <v>13</v>
      </c>
    </row>
    <row r="1164" spans="1:2" x14ac:dyDescent="0.25">
      <c r="A1164" s="20">
        <v>93205</v>
      </c>
      <c r="B1164" s="21">
        <v>16</v>
      </c>
    </row>
    <row r="1165" spans="1:2" x14ac:dyDescent="0.25">
      <c r="A1165" s="20">
        <v>93206</v>
      </c>
      <c r="B1165" s="21">
        <v>13</v>
      </c>
    </row>
    <row r="1166" spans="1:2" x14ac:dyDescent="0.25">
      <c r="A1166" s="20">
        <v>93207</v>
      </c>
      <c r="B1166" s="21">
        <v>13</v>
      </c>
    </row>
    <row r="1167" spans="1:2" x14ac:dyDescent="0.25">
      <c r="A1167" s="20">
        <v>93208</v>
      </c>
      <c r="B1167" s="21">
        <v>16</v>
      </c>
    </row>
    <row r="1168" spans="1:2" x14ac:dyDescent="0.25">
      <c r="A1168" s="20">
        <v>93210</v>
      </c>
      <c r="B1168" s="21">
        <v>13</v>
      </c>
    </row>
    <row r="1169" spans="1:2" x14ac:dyDescent="0.25">
      <c r="A1169" s="20">
        <v>93212</v>
      </c>
      <c r="B1169" s="21">
        <v>13</v>
      </c>
    </row>
    <row r="1170" spans="1:2" x14ac:dyDescent="0.25">
      <c r="A1170" s="20">
        <v>93215</v>
      </c>
      <c r="B1170" s="21">
        <v>13</v>
      </c>
    </row>
    <row r="1171" spans="1:2" x14ac:dyDescent="0.25">
      <c r="A1171" s="20">
        <v>93216</v>
      </c>
      <c r="B1171" s="21">
        <v>13</v>
      </c>
    </row>
    <row r="1172" spans="1:2" x14ac:dyDescent="0.25">
      <c r="A1172" s="20">
        <v>93218</v>
      </c>
      <c r="B1172" s="21">
        <v>13</v>
      </c>
    </row>
    <row r="1173" spans="1:2" x14ac:dyDescent="0.25">
      <c r="A1173" s="20">
        <v>93219</v>
      </c>
      <c r="B1173" s="21">
        <v>13</v>
      </c>
    </row>
    <row r="1174" spans="1:2" x14ac:dyDescent="0.25">
      <c r="A1174" s="20">
        <v>93220</v>
      </c>
      <c r="B1174" s="21">
        <v>13</v>
      </c>
    </row>
    <row r="1175" spans="1:2" x14ac:dyDescent="0.25">
      <c r="A1175" s="20">
        <v>93221</v>
      </c>
      <c r="B1175" s="21">
        <v>13</v>
      </c>
    </row>
    <row r="1176" spans="1:2" x14ac:dyDescent="0.25">
      <c r="A1176" s="20">
        <v>93222</v>
      </c>
      <c r="B1176" s="21">
        <v>16</v>
      </c>
    </row>
    <row r="1177" spans="1:2" x14ac:dyDescent="0.25">
      <c r="A1177" s="20">
        <v>93223</v>
      </c>
      <c r="B1177" s="21">
        <v>13</v>
      </c>
    </row>
    <row r="1178" spans="1:2" x14ac:dyDescent="0.25">
      <c r="A1178" s="20">
        <v>93224</v>
      </c>
      <c r="B1178" s="21">
        <v>13</v>
      </c>
    </row>
    <row r="1179" spans="1:2" x14ac:dyDescent="0.25">
      <c r="A1179" s="20">
        <v>93225</v>
      </c>
      <c r="B1179" s="21">
        <v>16</v>
      </c>
    </row>
    <row r="1180" spans="1:2" x14ac:dyDescent="0.25">
      <c r="A1180" s="20">
        <v>93226</v>
      </c>
      <c r="B1180" s="21">
        <v>16</v>
      </c>
    </row>
    <row r="1181" spans="1:2" x14ac:dyDescent="0.25">
      <c r="A1181" s="20">
        <v>93227</v>
      </c>
      <c r="B1181" s="21">
        <v>13</v>
      </c>
    </row>
    <row r="1182" spans="1:2" x14ac:dyDescent="0.25">
      <c r="A1182" s="20">
        <v>93230</v>
      </c>
      <c r="B1182" s="21">
        <v>13</v>
      </c>
    </row>
    <row r="1183" spans="1:2" x14ac:dyDescent="0.25">
      <c r="A1183" s="20">
        <v>93231</v>
      </c>
      <c r="B1183" s="21">
        <v>13</v>
      </c>
    </row>
    <row r="1184" spans="1:2" x14ac:dyDescent="0.25">
      <c r="A1184" s="20">
        <v>93232</v>
      </c>
      <c r="B1184" s="21">
        <v>13</v>
      </c>
    </row>
    <row r="1185" spans="1:2" x14ac:dyDescent="0.25">
      <c r="A1185" s="20">
        <v>93234</v>
      </c>
      <c r="B1185" s="21">
        <v>13</v>
      </c>
    </row>
    <row r="1186" spans="1:2" x14ac:dyDescent="0.25">
      <c r="A1186" s="20">
        <v>93235</v>
      </c>
      <c r="B1186" s="21">
        <v>13</v>
      </c>
    </row>
    <row r="1187" spans="1:2" x14ac:dyDescent="0.25">
      <c r="A1187" s="20">
        <v>93237</v>
      </c>
      <c r="B1187" s="21">
        <v>13</v>
      </c>
    </row>
    <row r="1188" spans="1:2" x14ac:dyDescent="0.25">
      <c r="A1188" s="20">
        <v>93238</v>
      </c>
      <c r="B1188" s="21">
        <v>16</v>
      </c>
    </row>
    <row r="1189" spans="1:2" x14ac:dyDescent="0.25">
      <c r="A1189" s="20">
        <v>93239</v>
      </c>
      <c r="B1189" s="21">
        <v>13</v>
      </c>
    </row>
    <row r="1190" spans="1:2" x14ac:dyDescent="0.25">
      <c r="A1190" s="20">
        <v>93240</v>
      </c>
      <c r="B1190" s="21">
        <v>16</v>
      </c>
    </row>
    <row r="1191" spans="1:2" x14ac:dyDescent="0.25">
      <c r="A1191" s="20">
        <v>93241</v>
      </c>
      <c r="B1191" s="21">
        <v>13</v>
      </c>
    </row>
    <row r="1192" spans="1:2" x14ac:dyDescent="0.25">
      <c r="A1192" s="20">
        <v>93242</v>
      </c>
      <c r="B1192" s="21">
        <v>13</v>
      </c>
    </row>
    <row r="1193" spans="1:2" x14ac:dyDescent="0.25">
      <c r="A1193" s="20">
        <v>93243</v>
      </c>
      <c r="B1193" s="21">
        <v>16</v>
      </c>
    </row>
    <row r="1194" spans="1:2" x14ac:dyDescent="0.25">
      <c r="A1194" s="20">
        <v>93244</v>
      </c>
      <c r="B1194" s="21">
        <v>13</v>
      </c>
    </row>
    <row r="1195" spans="1:2" x14ac:dyDescent="0.25">
      <c r="A1195" s="20">
        <v>93245</v>
      </c>
      <c r="B1195" s="21">
        <v>13</v>
      </c>
    </row>
    <row r="1196" spans="1:2" x14ac:dyDescent="0.25">
      <c r="A1196" s="20">
        <v>93246</v>
      </c>
      <c r="B1196" s="21">
        <v>13</v>
      </c>
    </row>
    <row r="1197" spans="1:2" x14ac:dyDescent="0.25">
      <c r="A1197" s="20">
        <v>93247</v>
      </c>
      <c r="B1197" s="21">
        <v>13</v>
      </c>
    </row>
    <row r="1198" spans="1:2" x14ac:dyDescent="0.25">
      <c r="A1198" s="20">
        <v>93249</v>
      </c>
      <c r="B1198" s="21">
        <v>13</v>
      </c>
    </row>
    <row r="1199" spans="1:2" x14ac:dyDescent="0.25">
      <c r="A1199" s="20">
        <v>93250</v>
      </c>
      <c r="B1199" s="21">
        <v>13</v>
      </c>
    </row>
    <row r="1200" spans="1:2" x14ac:dyDescent="0.25">
      <c r="A1200" s="20">
        <v>93251</v>
      </c>
      <c r="B1200" s="21">
        <v>13</v>
      </c>
    </row>
    <row r="1201" spans="1:2" x14ac:dyDescent="0.25">
      <c r="A1201" s="20">
        <v>93252</v>
      </c>
      <c r="B1201" s="21">
        <v>13</v>
      </c>
    </row>
    <row r="1202" spans="1:2" x14ac:dyDescent="0.25">
      <c r="A1202" s="20">
        <v>93254</v>
      </c>
      <c r="B1202" s="21">
        <v>4</v>
      </c>
    </row>
    <row r="1203" spans="1:2" x14ac:dyDescent="0.25">
      <c r="A1203" s="20">
        <v>93255</v>
      </c>
      <c r="B1203" s="21">
        <v>16</v>
      </c>
    </row>
    <row r="1204" spans="1:2" x14ac:dyDescent="0.25">
      <c r="A1204" s="20">
        <v>93256</v>
      </c>
      <c r="B1204" s="21">
        <v>13</v>
      </c>
    </row>
    <row r="1205" spans="1:2" x14ac:dyDescent="0.25">
      <c r="A1205" s="20">
        <v>93257</v>
      </c>
      <c r="B1205" s="21">
        <v>13</v>
      </c>
    </row>
    <row r="1206" spans="1:2" x14ac:dyDescent="0.25">
      <c r="A1206" s="20">
        <v>93258</v>
      </c>
      <c r="B1206" s="21">
        <v>13</v>
      </c>
    </row>
    <row r="1207" spans="1:2" x14ac:dyDescent="0.25">
      <c r="A1207" s="20">
        <v>93260</v>
      </c>
      <c r="B1207" s="21">
        <v>13</v>
      </c>
    </row>
    <row r="1208" spans="1:2" x14ac:dyDescent="0.25">
      <c r="A1208" s="20">
        <v>93261</v>
      </c>
      <c r="B1208" s="21">
        <v>13</v>
      </c>
    </row>
    <row r="1209" spans="1:2" x14ac:dyDescent="0.25">
      <c r="A1209" s="20">
        <v>93262</v>
      </c>
      <c r="B1209" s="21">
        <v>16</v>
      </c>
    </row>
    <row r="1210" spans="1:2" x14ac:dyDescent="0.25">
      <c r="A1210" s="20">
        <v>93263</v>
      </c>
      <c r="B1210" s="21">
        <v>13</v>
      </c>
    </row>
    <row r="1211" spans="1:2" x14ac:dyDescent="0.25">
      <c r="A1211" s="20">
        <v>93265</v>
      </c>
      <c r="B1211" s="21">
        <v>16</v>
      </c>
    </row>
    <row r="1212" spans="1:2" x14ac:dyDescent="0.25">
      <c r="A1212" s="20">
        <v>93266</v>
      </c>
      <c r="B1212" s="21">
        <v>13</v>
      </c>
    </row>
    <row r="1213" spans="1:2" x14ac:dyDescent="0.25">
      <c r="A1213" s="20">
        <v>93267</v>
      </c>
      <c r="B1213" s="21">
        <v>13</v>
      </c>
    </row>
    <row r="1214" spans="1:2" x14ac:dyDescent="0.25">
      <c r="A1214" s="20">
        <v>93268</v>
      </c>
      <c r="B1214" s="21">
        <v>13</v>
      </c>
    </row>
    <row r="1215" spans="1:2" x14ac:dyDescent="0.25">
      <c r="A1215" s="20">
        <v>93270</v>
      </c>
      <c r="B1215" s="21">
        <v>13</v>
      </c>
    </row>
    <row r="1216" spans="1:2" x14ac:dyDescent="0.25">
      <c r="A1216" s="20">
        <v>93271</v>
      </c>
      <c r="B1216" s="21">
        <v>13</v>
      </c>
    </row>
    <row r="1217" spans="1:2" x14ac:dyDescent="0.25">
      <c r="A1217" s="20">
        <v>93272</v>
      </c>
      <c r="B1217" s="21">
        <v>13</v>
      </c>
    </row>
    <row r="1218" spans="1:2" x14ac:dyDescent="0.25">
      <c r="A1218" s="20">
        <v>93274</v>
      </c>
      <c r="B1218" s="21">
        <v>13</v>
      </c>
    </row>
    <row r="1219" spans="1:2" x14ac:dyDescent="0.25">
      <c r="A1219" s="20">
        <v>93275</v>
      </c>
      <c r="B1219" s="21">
        <v>13</v>
      </c>
    </row>
    <row r="1220" spans="1:2" x14ac:dyDescent="0.25">
      <c r="A1220" s="20">
        <v>93276</v>
      </c>
      <c r="B1220" s="21">
        <v>13</v>
      </c>
    </row>
    <row r="1221" spans="1:2" x14ac:dyDescent="0.25">
      <c r="A1221" s="20">
        <v>93277</v>
      </c>
      <c r="B1221" s="21">
        <v>13</v>
      </c>
    </row>
    <row r="1222" spans="1:2" x14ac:dyDescent="0.25">
      <c r="A1222" s="20">
        <v>93278</v>
      </c>
      <c r="B1222" s="21">
        <v>13</v>
      </c>
    </row>
    <row r="1223" spans="1:2" x14ac:dyDescent="0.25">
      <c r="A1223" s="20">
        <v>93279</v>
      </c>
      <c r="B1223" s="21">
        <v>13</v>
      </c>
    </row>
    <row r="1224" spans="1:2" x14ac:dyDescent="0.25">
      <c r="A1224" s="20">
        <v>93280</v>
      </c>
      <c r="B1224" s="21">
        <v>13</v>
      </c>
    </row>
    <row r="1225" spans="1:2" x14ac:dyDescent="0.25">
      <c r="A1225" s="20">
        <v>93282</v>
      </c>
      <c r="B1225" s="21">
        <v>13</v>
      </c>
    </row>
    <row r="1226" spans="1:2" x14ac:dyDescent="0.25">
      <c r="A1226" s="20">
        <v>93283</v>
      </c>
      <c r="B1226" s="21">
        <v>16</v>
      </c>
    </row>
    <row r="1227" spans="1:2" x14ac:dyDescent="0.25">
      <c r="A1227" s="20">
        <v>93285</v>
      </c>
      <c r="B1227" s="21">
        <v>16</v>
      </c>
    </row>
    <row r="1228" spans="1:2" x14ac:dyDescent="0.25">
      <c r="A1228" s="20">
        <v>93286</v>
      </c>
      <c r="B1228" s="21">
        <v>13</v>
      </c>
    </row>
    <row r="1229" spans="1:2" x14ac:dyDescent="0.25">
      <c r="A1229" s="20">
        <v>93287</v>
      </c>
      <c r="B1229" s="21">
        <v>13</v>
      </c>
    </row>
    <row r="1230" spans="1:2" x14ac:dyDescent="0.25">
      <c r="A1230" s="20">
        <v>93291</v>
      </c>
      <c r="B1230" s="21">
        <v>13</v>
      </c>
    </row>
    <row r="1231" spans="1:2" x14ac:dyDescent="0.25">
      <c r="A1231" s="20">
        <v>93292</v>
      </c>
      <c r="B1231" s="21">
        <v>13</v>
      </c>
    </row>
    <row r="1232" spans="1:2" x14ac:dyDescent="0.25">
      <c r="A1232" s="20">
        <v>93301</v>
      </c>
      <c r="B1232" s="21">
        <v>13</v>
      </c>
    </row>
    <row r="1233" spans="1:2" x14ac:dyDescent="0.25">
      <c r="A1233" s="20">
        <v>93302</v>
      </c>
      <c r="B1233" s="21">
        <v>13</v>
      </c>
    </row>
    <row r="1234" spans="1:2" x14ac:dyDescent="0.25">
      <c r="A1234" s="20">
        <v>93303</v>
      </c>
      <c r="B1234" s="21">
        <v>13</v>
      </c>
    </row>
    <row r="1235" spans="1:2" x14ac:dyDescent="0.25">
      <c r="A1235" s="20">
        <v>93304</v>
      </c>
      <c r="B1235" s="21">
        <v>13</v>
      </c>
    </row>
    <row r="1236" spans="1:2" x14ac:dyDescent="0.25">
      <c r="A1236" s="20">
        <v>93305</v>
      </c>
      <c r="B1236" s="21">
        <v>13</v>
      </c>
    </row>
    <row r="1237" spans="1:2" x14ac:dyDescent="0.25">
      <c r="A1237" s="20">
        <v>93306</v>
      </c>
      <c r="B1237" s="21">
        <v>13</v>
      </c>
    </row>
    <row r="1238" spans="1:2" x14ac:dyDescent="0.25">
      <c r="A1238" s="20">
        <v>93307</v>
      </c>
      <c r="B1238" s="21">
        <v>13</v>
      </c>
    </row>
    <row r="1239" spans="1:2" x14ac:dyDescent="0.25">
      <c r="A1239" s="20">
        <v>93308</v>
      </c>
      <c r="B1239" s="21">
        <v>13</v>
      </c>
    </row>
    <row r="1240" spans="1:2" x14ac:dyDescent="0.25">
      <c r="A1240" s="20">
        <v>93309</v>
      </c>
      <c r="B1240" s="21">
        <v>13</v>
      </c>
    </row>
    <row r="1241" spans="1:2" x14ac:dyDescent="0.25">
      <c r="A1241" s="20">
        <v>93311</v>
      </c>
      <c r="B1241" s="21">
        <v>13</v>
      </c>
    </row>
    <row r="1242" spans="1:2" x14ac:dyDescent="0.25">
      <c r="A1242" s="20">
        <v>93312</v>
      </c>
      <c r="B1242" s="21">
        <v>13</v>
      </c>
    </row>
    <row r="1243" spans="1:2" x14ac:dyDescent="0.25">
      <c r="A1243" s="20">
        <v>93313</v>
      </c>
      <c r="B1243" s="21">
        <v>13</v>
      </c>
    </row>
    <row r="1244" spans="1:2" x14ac:dyDescent="0.25">
      <c r="A1244" s="20">
        <v>93314</v>
      </c>
      <c r="B1244" s="21">
        <v>13</v>
      </c>
    </row>
    <row r="1245" spans="1:2" x14ac:dyDescent="0.25">
      <c r="A1245" s="20">
        <v>93380</v>
      </c>
      <c r="B1245" s="21">
        <v>13</v>
      </c>
    </row>
    <row r="1246" spans="1:2" x14ac:dyDescent="0.25">
      <c r="A1246" s="20">
        <v>93381</v>
      </c>
      <c r="B1246" s="21">
        <v>13</v>
      </c>
    </row>
    <row r="1247" spans="1:2" x14ac:dyDescent="0.25">
      <c r="A1247" s="20">
        <v>93382</v>
      </c>
      <c r="B1247" s="21">
        <v>13</v>
      </c>
    </row>
    <row r="1248" spans="1:2" x14ac:dyDescent="0.25">
      <c r="A1248" s="20">
        <v>93383</v>
      </c>
      <c r="B1248" s="21">
        <v>13</v>
      </c>
    </row>
    <row r="1249" spans="1:2" x14ac:dyDescent="0.25">
      <c r="A1249" s="20">
        <v>93384</v>
      </c>
      <c r="B1249" s="21">
        <v>13</v>
      </c>
    </row>
    <row r="1250" spans="1:2" x14ac:dyDescent="0.25">
      <c r="A1250" s="20">
        <v>93385</v>
      </c>
      <c r="B1250" s="21">
        <v>13</v>
      </c>
    </row>
    <row r="1251" spans="1:2" x14ac:dyDescent="0.25">
      <c r="A1251" s="20">
        <v>93386</v>
      </c>
      <c r="B1251" s="21">
        <v>13</v>
      </c>
    </row>
    <row r="1252" spans="1:2" x14ac:dyDescent="0.25">
      <c r="A1252" s="20">
        <v>93387</v>
      </c>
      <c r="B1252" s="21">
        <v>13</v>
      </c>
    </row>
    <row r="1253" spans="1:2" x14ac:dyDescent="0.25">
      <c r="A1253" s="20">
        <v>93388</v>
      </c>
      <c r="B1253" s="21">
        <v>13</v>
      </c>
    </row>
    <row r="1254" spans="1:2" x14ac:dyDescent="0.25">
      <c r="A1254" s="20">
        <v>93389</v>
      </c>
      <c r="B1254" s="21">
        <v>13</v>
      </c>
    </row>
    <row r="1255" spans="1:2" x14ac:dyDescent="0.25">
      <c r="A1255" s="20">
        <v>93390</v>
      </c>
      <c r="B1255" s="21">
        <v>13</v>
      </c>
    </row>
    <row r="1256" spans="1:2" x14ac:dyDescent="0.25">
      <c r="A1256" s="20">
        <v>93401</v>
      </c>
      <c r="B1256" s="21">
        <v>5</v>
      </c>
    </row>
    <row r="1257" spans="1:2" x14ac:dyDescent="0.25">
      <c r="A1257" s="20">
        <v>93402</v>
      </c>
      <c r="B1257" s="21">
        <v>5</v>
      </c>
    </row>
    <row r="1258" spans="1:2" x14ac:dyDescent="0.25">
      <c r="A1258" s="20">
        <v>93403</v>
      </c>
      <c r="B1258" s="21">
        <v>5</v>
      </c>
    </row>
    <row r="1259" spans="1:2" x14ac:dyDescent="0.25">
      <c r="A1259" s="20">
        <v>93405</v>
      </c>
      <c r="B1259" s="21">
        <v>5</v>
      </c>
    </row>
    <row r="1260" spans="1:2" x14ac:dyDescent="0.25">
      <c r="A1260" s="20">
        <v>93406</v>
      </c>
      <c r="B1260" s="21">
        <v>5</v>
      </c>
    </row>
    <row r="1261" spans="1:2" x14ac:dyDescent="0.25">
      <c r="A1261" s="20">
        <v>93407</v>
      </c>
      <c r="B1261" s="21">
        <v>5</v>
      </c>
    </row>
    <row r="1262" spans="1:2" x14ac:dyDescent="0.25">
      <c r="A1262" s="20">
        <v>93408</v>
      </c>
      <c r="B1262" s="21">
        <v>5</v>
      </c>
    </row>
    <row r="1263" spans="1:2" x14ac:dyDescent="0.25">
      <c r="A1263" s="20">
        <v>93409</v>
      </c>
      <c r="B1263" s="21">
        <v>5</v>
      </c>
    </row>
    <row r="1264" spans="1:2" x14ac:dyDescent="0.25">
      <c r="A1264" s="20">
        <v>93410</v>
      </c>
      <c r="B1264" s="21">
        <v>5</v>
      </c>
    </row>
    <row r="1265" spans="1:2" x14ac:dyDescent="0.25">
      <c r="A1265" s="20">
        <v>93412</v>
      </c>
      <c r="B1265" s="21">
        <v>5</v>
      </c>
    </row>
    <row r="1266" spans="1:2" x14ac:dyDescent="0.25">
      <c r="A1266" s="20">
        <v>93420</v>
      </c>
      <c r="B1266" s="21">
        <v>5</v>
      </c>
    </row>
    <row r="1267" spans="1:2" x14ac:dyDescent="0.25">
      <c r="A1267" s="20">
        <v>93421</v>
      </c>
      <c r="B1267" s="21">
        <v>5</v>
      </c>
    </row>
    <row r="1268" spans="1:2" x14ac:dyDescent="0.25">
      <c r="A1268" s="20">
        <v>93422</v>
      </c>
      <c r="B1268" s="21">
        <v>4</v>
      </c>
    </row>
    <row r="1269" spans="1:2" x14ac:dyDescent="0.25">
      <c r="A1269" s="20">
        <v>93423</v>
      </c>
      <c r="B1269" s="21">
        <v>4</v>
      </c>
    </row>
    <row r="1270" spans="1:2" x14ac:dyDescent="0.25">
      <c r="A1270" s="20">
        <v>93424</v>
      </c>
      <c r="B1270" s="21">
        <v>5</v>
      </c>
    </row>
    <row r="1271" spans="1:2" x14ac:dyDescent="0.25">
      <c r="A1271" s="20">
        <v>93426</v>
      </c>
      <c r="B1271" s="21">
        <v>4</v>
      </c>
    </row>
    <row r="1272" spans="1:2" x14ac:dyDescent="0.25">
      <c r="A1272" s="20">
        <v>93427</v>
      </c>
      <c r="B1272" s="21">
        <v>5</v>
      </c>
    </row>
    <row r="1273" spans="1:2" x14ac:dyDescent="0.25">
      <c r="A1273" s="20">
        <v>93428</v>
      </c>
      <c r="B1273" s="21">
        <v>5</v>
      </c>
    </row>
    <row r="1274" spans="1:2" x14ac:dyDescent="0.25">
      <c r="A1274" s="20">
        <v>93429</v>
      </c>
      <c r="B1274" s="21">
        <v>5</v>
      </c>
    </row>
    <row r="1275" spans="1:2" x14ac:dyDescent="0.25">
      <c r="A1275" s="20">
        <v>93430</v>
      </c>
      <c r="B1275" s="21">
        <v>5</v>
      </c>
    </row>
    <row r="1276" spans="1:2" x14ac:dyDescent="0.25">
      <c r="A1276" s="20">
        <v>93432</v>
      </c>
      <c r="B1276" s="21">
        <v>4</v>
      </c>
    </row>
    <row r="1277" spans="1:2" x14ac:dyDescent="0.25">
      <c r="A1277" s="20">
        <v>93433</v>
      </c>
      <c r="B1277" s="21">
        <v>5</v>
      </c>
    </row>
    <row r="1278" spans="1:2" x14ac:dyDescent="0.25">
      <c r="A1278" s="20">
        <v>93434</v>
      </c>
      <c r="B1278" s="21">
        <v>5</v>
      </c>
    </row>
    <row r="1279" spans="1:2" x14ac:dyDescent="0.25">
      <c r="A1279" s="20">
        <v>93435</v>
      </c>
      <c r="B1279" s="21">
        <v>5</v>
      </c>
    </row>
    <row r="1280" spans="1:2" x14ac:dyDescent="0.25">
      <c r="A1280" s="20">
        <v>93436</v>
      </c>
      <c r="B1280" s="21">
        <v>5</v>
      </c>
    </row>
    <row r="1281" spans="1:2" x14ac:dyDescent="0.25">
      <c r="A1281" s="20">
        <v>93437</v>
      </c>
      <c r="B1281" s="21">
        <v>5</v>
      </c>
    </row>
    <row r="1282" spans="1:2" x14ac:dyDescent="0.25">
      <c r="A1282" s="20">
        <v>93438</v>
      </c>
      <c r="B1282" s="21">
        <v>5</v>
      </c>
    </row>
    <row r="1283" spans="1:2" x14ac:dyDescent="0.25">
      <c r="A1283" s="20">
        <v>93440</v>
      </c>
      <c r="B1283" s="21">
        <v>5</v>
      </c>
    </row>
    <row r="1284" spans="1:2" x14ac:dyDescent="0.25">
      <c r="A1284" s="20">
        <v>93441</v>
      </c>
      <c r="B1284" s="21">
        <v>5</v>
      </c>
    </row>
    <row r="1285" spans="1:2" x14ac:dyDescent="0.25">
      <c r="A1285" s="20">
        <v>93442</v>
      </c>
      <c r="B1285" s="21">
        <v>5</v>
      </c>
    </row>
    <row r="1286" spans="1:2" x14ac:dyDescent="0.25">
      <c r="A1286" s="20">
        <v>93443</v>
      </c>
      <c r="B1286" s="21">
        <v>5</v>
      </c>
    </row>
    <row r="1287" spans="1:2" x14ac:dyDescent="0.25">
      <c r="A1287" s="20">
        <v>93444</v>
      </c>
      <c r="B1287" s="21">
        <v>5</v>
      </c>
    </row>
    <row r="1288" spans="1:2" x14ac:dyDescent="0.25">
      <c r="A1288" s="20">
        <v>93445</v>
      </c>
      <c r="B1288" s="21">
        <v>5</v>
      </c>
    </row>
    <row r="1289" spans="1:2" x14ac:dyDescent="0.25">
      <c r="A1289" s="20">
        <v>93446</v>
      </c>
      <c r="B1289" s="21">
        <v>4</v>
      </c>
    </row>
    <row r="1290" spans="1:2" x14ac:dyDescent="0.25">
      <c r="A1290" s="20">
        <v>93447</v>
      </c>
      <c r="B1290" s="21">
        <v>4</v>
      </c>
    </row>
    <row r="1291" spans="1:2" x14ac:dyDescent="0.25">
      <c r="A1291" s="20">
        <v>93448</v>
      </c>
      <c r="B1291" s="21">
        <v>5</v>
      </c>
    </row>
    <row r="1292" spans="1:2" x14ac:dyDescent="0.25">
      <c r="A1292" s="20">
        <v>93449</v>
      </c>
      <c r="B1292" s="21">
        <v>5</v>
      </c>
    </row>
    <row r="1293" spans="1:2" x14ac:dyDescent="0.25">
      <c r="A1293" s="20">
        <v>93450</v>
      </c>
      <c r="B1293" s="21">
        <v>4</v>
      </c>
    </row>
    <row r="1294" spans="1:2" x14ac:dyDescent="0.25">
      <c r="A1294" s="20">
        <v>93451</v>
      </c>
      <c r="B1294" s="21">
        <v>4</v>
      </c>
    </row>
    <row r="1295" spans="1:2" x14ac:dyDescent="0.25">
      <c r="A1295" s="20">
        <v>93452</v>
      </c>
      <c r="B1295" s="21">
        <v>5</v>
      </c>
    </row>
    <row r="1296" spans="1:2" x14ac:dyDescent="0.25">
      <c r="A1296" s="20">
        <v>93453</v>
      </c>
      <c r="B1296" s="21">
        <v>4</v>
      </c>
    </row>
    <row r="1297" spans="1:2" x14ac:dyDescent="0.25">
      <c r="A1297" s="20">
        <v>93454</v>
      </c>
      <c r="B1297" s="21">
        <v>5</v>
      </c>
    </row>
    <row r="1298" spans="1:2" x14ac:dyDescent="0.25">
      <c r="A1298" s="20">
        <v>93455</v>
      </c>
      <c r="B1298" s="21">
        <v>5</v>
      </c>
    </row>
    <row r="1299" spans="1:2" x14ac:dyDescent="0.25">
      <c r="A1299" s="20">
        <v>93456</v>
      </c>
      <c r="B1299" s="21">
        <v>5</v>
      </c>
    </row>
    <row r="1300" spans="1:2" x14ac:dyDescent="0.25">
      <c r="A1300" s="20">
        <v>93457</v>
      </c>
      <c r="B1300" s="21">
        <v>5</v>
      </c>
    </row>
    <row r="1301" spans="1:2" x14ac:dyDescent="0.25">
      <c r="A1301" s="20">
        <v>93458</v>
      </c>
      <c r="B1301" s="21">
        <v>5</v>
      </c>
    </row>
    <row r="1302" spans="1:2" x14ac:dyDescent="0.25">
      <c r="A1302" s="20">
        <v>93460</v>
      </c>
      <c r="B1302" s="21">
        <v>5</v>
      </c>
    </row>
    <row r="1303" spans="1:2" x14ac:dyDescent="0.25">
      <c r="A1303" s="20">
        <v>93461</v>
      </c>
      <c r="B1303" s="21">
        <v>4</v>
      </c>
    </row>
    <row r="1304" spans="1:2" x14ac:dyDescent="0.25">
      <c r="A1304" s="20">
        <v>93463</v>
      </c>
      <c r="B1304" s="21">
        <v>5</v>
      </c>
    </row>
    <row r="1305" spans="1:2" x14ac:dyDescent="0.25">
      <c r="A1305" s="20">
        <v>93464</v>
      </c>
      <c r="B1305" s="21">
        <v>5</v>
      </c>
    </row>
    <row r="1306" spans="1:2" x14ac:dyDescent="0.25">
      <c r="A1306" s="20">
        <v>93465</v>
      </c>
      <c r="B1306" s="21">
        <v>4</v>
      </c>
    </row>
    <row r="1307" spans="1:2" x14ac:dyDescent="0.25">
      <c r="A1307" s="20">
        <v>93483</v>
      </c>
      <c r="B1307" s="21">
        <v>5</v>
      </c>
    </row>
    <row r="1308" spans="1:2" x14ac:dyDescent="0.25">
      <c r="A1308" s="20">
        <v>93501</v>
      </c>
      <c r="B1308" s="21">
        <v>14</v>
      </c>
    </row>
    <row r="1309" spans="1:2" x14ac:dyDescent="0.25">
      <c r="A1309" s="20">
        <v>93502</v>
      </c>
      <c r="B1309" s="21">
        <v>14</v>
      </c>
    </row>
    <row r="1310" spans="1:2" x14ac:dyDescent="0.25">
      <c r="A1310" s="20">
        <v>93504</v>
      </c>
      <c r="B1310" s="21">
        <v>14</v>
      </c>
    </row>
    <row r="1311" spans="1:2" x14ac:dyDescent="0.25">
      <c r="A1311" s="20">
        <v>93505</v>
      </c>
      <c r="B1311" s="21">
        <v>14</v>
      </c>
    </row>
    <row r="1312" spans="1:2" x14ac:dyDescent="0.25">
      <c r="A1312" s="20">
        <v>93510</v>
      </c>
      <c r="B1312" s="21">
        <v>14</v>
      </c>
    </row>
    <row r="1313" spans="1:2" x14ac:dyDescent="0.25">
      <c r="A1313" s="20">
        <v>93512</v>
      </c>
      <c r="B1313" s="21">
        <v>16</v>
      </c>
    </row>
    <row r="1314" spans="1:2" x14ac:dyDescent="0.25">
      <c r="A1314" s="20">
        <v>93513</v>
      </c>
      <c r="B1314" s="21">
        <v>16</v>
      </c>
    </row>
    <row r="1315" spans="1:2" x14ac:dyDescent="0.25">
      <c r="A1315" s="20">
        <v>93514</v>
      </c>
      <c r="B1315" s="21">
        <v>16</v>
      </c>
    </row>
    <row r="1316" spans="1:2" x14ac:dyDescent="0.25">
      <c r="A1316" s="20">
        <v>93515</v>
      </c>
      <c r="B1316" s="21">
        <v>16</v>
      </c>
    </row>
    <row r="1317" spans="1:2" x14ac:dyDescent="0.25">
      <c r="A1317" s="20">
        <v>93516</v>
      </c>
      <c r="B1317" s="21">
        <v>14</v>
      </c>
    </row>
    <row r="1318" spans="1:2" x14ac:dyDescent="0.25">
      <c r="A1318" s="20">
        <v>93517</v>
      </c>
      <c r="B1318" s="21">
        <v>16</v>
      </c>
    </row>
    <row r="1319" spans="1:2" x14ac:dyDescent="0.25">
      <c r="A1319" s="20">
        <v>93518</v>
      </c>
      <c r="B1319" s="21">
        <v>16</v>
      </c>
    </row>
    <row r="1320" spans="1:2" x14ac:dyDescent="0.25">
      <c r="A1320" s="20">
        <v>93519</v>
      </c>
      <c r="B1320" s="21">
        <v>14</v>
      </c>
    </row>
    <row r="1321" spans="1:2" x14ac:dyDescent="0.25">
      <c r="A1321" s="20">
        <v>93522</v>
      </c>
      <c r="B1321" s="21">
        <v>16</v>
      </c>
    </row>
    <row r="1322" spans="1:2" x14ac:dyDescent="0.25">
      <c r="A1322" s="20">
        <v>93523</v>
      </c>
      <c r="B1322" s="21">
        <v>14</v>
      </c>
    </row>
    <row r="1323" spans="1:2" x14ac:dyDescent="0.25">
      <c r="A1323" s="20">
        <v>93524</v>
      </c>
      <c r="B1323" s="21">
        <v>14</v>
      </c>
    </row>
    <row r="1324" spans="1:2" x14ac:dyDescent="0.25">
      <c r="A1324" s="20">
        <v>93526</v>
      </c>
      <c r="B1324" s="21">
        <v>16</v>
      </c>
    </row>
    <row r="1325" spans="1:2" x14ac:dyDescent="0.25">
      <c r="A1325" s="20">
        <v>93527</v>
      </c>
      <c r="B1325" s="21">
        <v>16</v>
      </c>
    </row>
    <row r="1326" spans="1:2" x14ac:dyDescent="0.25">
      <c r="A1326" s="20">
        <v>93528</v>
      </c>
      <c r="B1326" s="21">
        <v>14</v>
      </c>
    </row>
    <row r="1327" spans="1:2" x14ac:dyDescent="0.25">
      <c r="A1327" s="20">
        <v>93529</v>
      </c>
      <c r="B1327" s="21">
        <v>16</v>
      </c>
    </row>
    <row r="1328" spans="1:2" x14ac:dyDescent="0.25">
      <c r="A1328" s="20">
        <v>93530</v>
      </c>
      <c r="B1328" s="21">
        <v>16</v>
      </c>
    </row>
    <row r="1329" spans="1:2" x14ac:dyDescent="0.25">
      <c r="A1329" s="20">
        <v>93531</v>
      </c>
      <c r="B1329" s="21">
        <v>16</v>
      </c>
    </row>
    <row r="1330" spans="1:2" x14ac:dyDescent="0.25">
      <c r="A1330" s="20">
        <v>93532</v>
      </c>
      <c r="B1330" s="21">
        <v>14</v>
      </c>
    </row>
    <row r="1331" spans="1:2" x14ac:dyDescent="0.25">
      <c r="A1331" s="20">
        <v>93534</v>
      </c>
      <c r="B1331" s="21">
        <v>14</v>
      </c>
    </row>
    <row r="1332" spans="1:2" x14ac:dyDescent="0.25">
      <c r="A1332" s="20">
        <v>93535</v>
      </c>
      <c r="B1332" s="21">
        <v>14</v>
      </c>
    </row>
    <row r="1333" spans="1:2" x14ac:dyDescent="0.25">
      <c r="A1333" s="20">
        <v>93536</v>
      </c>
      <c r="B1333" s="21">
        <v>14</v>
      </c>
    </row>
    <row r="1334" spans="1:2" x14ac:dyDescent="0.25">
      <c r="A1334" s="20">
        <v>93539</v>
      </c>
      <c r="B1334" s="21">
        <v>14</v>
      </c>
    </row>
    <row r="1335" spans="1:2" x14ac:dyDescent="0.25">
      <c r="A1335" s="20">
        <v>93541</v>
      </c>
      <c r="B1335" s="21">
        <v>16</v>
      </c>
    </row>
    <row r="1336" spans="1:2" x14ac:dyDescent="0.25">
      <c r="A1336" s="20">
        <v>93542</v>
      </c>
      <c r="B1336" s="21">
        <v>16</v>
      </c>
    </row>
    <row r="1337" spans="1:2" x14ac:dyDescent="0.25">
      <c r="A1337" s="20">
        <v>93543</v>
      </c>
      <c r="B1337" s="21">
        <v>14</v>
      </c>
    </row>
    <row r="1338" spans="1:2" x14ac:dyDescent="0.25">
      <c r="A1338" s="20">
        <v>93544</v>
      </c>
      <c r="B1338" s="21">
        <v>14</v>
      </c>
    </row>
    <row r="1339" spans="1:2" x14ac:dyDescent="0.25">
      <c r="A1339" s="20">
        <v>93545</v>
      </c>
      <c r="B1339" s="21">
        <v>16</v>
      </c>
    </row>
    <row r="1340" spans="1:2" x14ac:dyDescent="0.25">
      <c r="A1340" s="20">
        <v>93546</v>
      </c>
      <c r="B1340" s="21">
        <v>16</v>
      </c>
    </row>
    <row r="1341" spans="1:2" x14ac:dyDescent="0.25">
      <c r="A1341" s="20">
        <v>93549</v>
      </c>
      <c r="B1341" s="21">
        <v>16</v>
      </c>
    </row>
    <row r="1342" spans="1:2" x14ac:dyDescent="0.25">
      <c r="A1342" s="20">
        <v>93550</v>
      </c>
      <c r="B1342" s="21">
        <v>14</v>
      </c>
    </row>
    <row r="1343" spans="1:2" x14ac:dyDescent="0.25">
      <c r="A1343" s="20">
        <v>93551</v>
      </c>
      <c r="B1343" s="21">
        <v>14</v>
      </c>
    </row>
    <row r="1344" spans="1:2" x14ac:dyDescent="0.25">
      <c r="A1344" s="20">
        <v>93552</v>
      </c>
      <c r="B1344" s="21">
        <v>14</v>
      </c>
    </row>
    <row r="1345" spans="1:2" x14ac:dyDescent="0.25">
      <c r="A1345" s="20">
        <v>93553</v>
      </c>
      <c r="B1345" s="21">
        <v>14</v>
      </c>
    </row>
    <row r="1346" spans="1:2" x14ac:dyDescent="0.25">
      <c r="A1346" s="20">
        <v>93554</v>
      </c>
      <c r="B1346" s="21">
        <v>14</v>
      </c>
    </row>
    <row r="1347" spans="1:2" x14ac:dyDescent="0.25">
      <c r="A1347" s="20">
        <v>93555</v>
      </c>
      <c r="B1347" s="21">
        <v>14</v>
      </c>
    </row>
    <row r="1348" spans="1:2" x14ac:dyDescent="0.25">
      <c r="A1348" s="20">
        <v>93556</v>
      </c>
      <c r="B1348" s="21">
        <v>14</v>
      </c>
    </row>
    <row r="1349" spans="1:2" x14ac:dyDescent="0.25">
      <c r="A1349" s="20">
        <v>93558</v>
      </c>
      <c r="B1349" s="21">
        <v>14</v>
      </c>
    </row>
    <row r="1350" spans="1:2" x14ac:dyDescent="0.25">
      <c r="A1350" s="20">
        <v>93560</v>
      </c>
      <c r="B1350" s="21">
        <v>14</v>
      </c>
    </row>
    <row r="1351" spans="1:2" x14ac:dyDescent="0.25">
      <c r="A1351" s="20">
        <v>93561</v>
      </c>
      <c r="B1351" s="21">
        <v>16</v>
      </c>
    </row>
    <row r="1352" spans="1:2" x14ac:dyDescent="0.25">
      <c r="A1352" s="20">
        <v>93562</v>
      </c>
      <c r="B1352" s="21">
        <v>14</v>
      </c>
    </row>
    <row r="1353" spans="1:2" x14ac:dyDescent="0.25">
      <c r="A1353" s="20">
        <v>93563</v>
      </c>
      <c r="B1353" s="21">
        <v>16</v>
      </c>
    </row>
    <row r="1354" spans="1:2" x14ac:dyDescent="0.25">
      <c r="A1354" s="20">
        <v>93581</v>
      </c>
      <c r="B1354" s="21">
        <v>16</v>
      </c>
    </row>
    <row r="1355" spans="1:2" x14ac:dyDescent="0.25">
      <c r="A1355" s="20">
        <v>93584</v>
      </c>
      <c r="B1355" s="21">
        <v>14</v>
      </c>
    </row>
    <row r="1356" spans="1:2" x14ac:dyDescent="0.25">
      <c r="A1356" s="20">
        <v>93586</v>
      </c>
      <c r="B1356" s="21">
        <v>14</v>
      </c>
    </row>
    <row r="1357" spans="1:2" x14ac:dyDescent="0.25">
      <c r="A1357" s="20">
        <v>93590</v>
      </c>
      <c r="B1357" s="21">
        <v>14</v>
      </c>
    </row>
    <row r="1358" spans="1:2" x14ac:dyDescent="0.25">
      <c r="A1358" s="20">
        <v>93591</v>
      </c>
      <c r="B1358" s="21">
        <v>14</v>
      </c>
    </row>
    <row r="1359" spans="1:2" x14ac:dyDescent="0.25">
      <c r="A1359" s="20">
        <v>93592</v>
      </c>
      <c r="B1359" s="21">
        <v>14</v>
      </c>
    </row>
    <row r="1360" spans="1:2" x14ac:dyDescent="0.25">
      <c r="A1360" s="20">
        <v>93596</v>
      </c>
      <c r="B1360" s="21">
        <v>14</v>
      </c>
    </row>
    <row r="1361" spans="1:2" x14ac:dyDescent="0.25">
      <c r="A1361" s="20">
        <v>93599</v>
      </c>
      <c r="B1361" s="21">
        <v>14</v>
      </c>
    </row>
    <row r="1362" spans="1:2" x14ac:dyDescent="0.25">
      <c r="A1362" s="20">
        <v>93601</v>
      </c>
      <c r="B1362" s="21">
        <v>13</v>
      </c>
    </row>
    <row r="1363" spans="1:2" x14ac:dyDescent="0.25">
      <c r="A1363" s="20">
        <v>93602</v>
      </c>
      <c r="B1363" s="21">
        <v>16</v>
      </c>
    </row>
    <row r="1364" spans="1:2" x14ac:dyDescent="0.25">
      <c r="A1364" s="20">
        <v>93603</v>
      </c>
      <c r="B1364" s="21">
        <v>13</v>
      </c>
    </row>
    <row r="1365" spans="1:2" x14ac:dyDescent="0.25">
      <c r="A1365" s="20">
        <v>93604</v>
      </c>
      <c r="B1365" s="21">
        <v>16</v>
      </c>
    </row>
    <row r="1366" spans="1:2" x14ac:dyDescent="0.25">
      <c r="A1366" s="20">
        <v>93605</v>
      </c>
      <c r="B1366" s="21">
        <v>16</v>
      </c>
    </row>
    <row r="1367" spans="1:2" x14ac:dyDescent="0.25">
      <c r="A1367" s="20">
        <v>93606</v>
      </c>
      <c r="B1367" s="21">
        <v>13</v>
      </c>
    </row>
    <row r="1368" spans="1:2" x14ac:dyDescent="0.25">
      <c r="A1368" s="20">
        <v>93607</v>
      </c>
      <c r="B1368" s="21">
        <v>13</v>
      </c>
    </row>
    <row r="1369" spans="1:2" x14ac:dyDescent="0.25">
      <c r="A1369" s="20">
        <v>93608</v>
      </c>
      <c r="B1369" s="21">
        <v>13</v>
      </c>
    </row>
    <row r="1370" spans="1:2" x14ac:dyDescent="0.25">
      <c r="A1370" s="20">
        <v>93609</v>
      </c>
      <c r="B1370" s="21">
        <v>13</v>
      </c>
    </row>
    <row r="1371" spans="1:2" x14ac:dyDescent="0.25">
      <c r="A1371" s="20">
        <v>93610</v>
      </c>
      <c r="B1371" s="21">
        <v>13</v>
      </c>
    </row>
    <row r="1372" spans="1:2" x14ac:dyDescent="0.25">
      <c r="A1372" s="20">
        <v>93611</v>
      </c>
      <c r="B1372" s="21">
        <v>13</v>
      </c>
    </row>
    <row r="1373" spans="1:2" x14ac:dyDescent="0.25">
      <c r="A1373" s="20">
        <v>93612</v>
      </c>
      <c r="B1373" s="21">
        <v>13</v>
      </c>
    </row>
    <row r="1374" spans="1:2" x14ac:dyDescent="0.25">
      <c r="A1374" s="20">
        <v>93613</v>
      </c>
      <c r="B1374" s="21">
        <v>13</v>
      </c>
    </row>
    <row r="1375" spans="1:2" x14ac:dyDescent="0.25">
      <c r="A1375" s="20">
        <v>93614</v>
      </c>
      <c r="B1375" s="21">
        <v>13</v>
      </c>
    </row>
    <row r="1376" spans="1:2" x14ac:dyDescent="0.25">
      <c r="A1376" s="20">
        <v>93615</v>
      </c>
      <c r="B1376" s="21">
        <v>13</v>
      </c>
    </row>
    <row r="1377" spans="1:2" x14ac:dyDescent="0.25">
      <c r="A1377" s="20">
        <v>93616</v>
      </c>
      <c r="B1377" s="21">
        <v>13</v>
      </c>
    </row>
    <row r="1378" spans="1:2" x14ac:dyDescent="0.25">
      <c r="A1378" s="20">
        <v>93618</v>
      </c>
      <c r="B1378" s="21">
        <v>13</v>
      </c>
    </row>
    <row r="1379" spans="1:2" x14ac:dyDescent="0.25">
      <c r="A1379" s="20">
        <v>93619</v>
      </c>
      <c r="B1379" s="21">
        <v>13</v>
      </c>
    </row>
    <row r="1380" spans="1:2" x14ac:dyDescent="0.25">
      <c r="A1380" s="20">
        <v>93620</v>
      </c>
      <c r="B1380" s="21">
        <v>12</v>
      </c>
    </row>
    <row r="1381" spans="1:2" x14ac:dyDescent="0.25">
      <c r="A1381" s="20">
        <v>93621</v>
      </c>
      <c r="B1381" s="21">
        <v>13</v>
      </c>
    </row>
    <row r="1382" spans="1:2" x14ac:dyDescent="0.25">
      <c r="A1382" s="20">
        <v>93622</v>
      </c>
      <c r="B1382" s="21">
        <v>13</v>
      </c>
    </row>
    <row r="1383" spans="1:2" x14ac:dyDescent="0.25">
      <c r="A1383" s="20">
        <v>93623</v>
      </c>
      <c r="B1383" s="21">
        <v>16</v>
      </c>
    </row>
    <row r="1384" spans="1:2" x14ac:dyDescent="0.25">
      <c r="A1384" s="20">
        <v>93624</v>
      </c>
      <c r="B1384" s="21">
        <v>13</v>
      </c>
    </row>
    <row r="1385" spans="1:2" x14ac:dyDescent="0.25">
      <c r="A1385" s="20">
        <v>93625</v>
      </c>
      <c r="B1385" s="21">
        <v>13</v>
      </c>
    </row>
    <row r="1386" spans="1:2" x14ac:dyDescent="0.25">
      <c r="A1386" s="20">
        <v>93626</v>
      </c>
      <c r="B1386" s="21">
        <v>13</v>
      </c>
    </row>
    <row r="1387" spans="1:2" x14ac:dyDescent="0.25">
      <c r="A1387" s="20">
        <v>93627</v>
      </c>
      <c r="B1387" s="21">
        <v>13</v>
      </c>
    </row>
    <row r="1388" spans="1:2" x14ac:dyDescent="0.25">
      <c r="A1388" s="20">
        <v>93628</v>
      </c>
      <c r="B1388" s="21">
        <v>16</v>
      </c>
    </row>
    <row r="1389" spans="1:2" x14ac:dyDescent="0.25">
      <c r="A1389" s="20">
        <v>93630</v>
      </c>
      <c r="B1389" s="21">
        <v>13</v>
      </c>
    </row>
    <row r="1390" spans="1:2" x14ac:dyDescent="0.25">
      <c r="A1390" s="20">
        <v>93631</v>
      </c>
      <c r="B1390" s="21">
        <v>13</v>
      </c>
    </row>
    <row r="1391" spans="1:2" x14ac:dyDescent="0.25">
      <c r="A1391" s="20">
        <v>93633</v>
      </c>
      <c r="B1391" s="21">
        <v>16</v>
      </c>
    </row>
    <row r="1392" spans="1:2" x14ac:dyDescent="0.25">
      <c r="A1392" s="20">
        <v>93634</v>
      </c>
      <c r="B1392" s="21">
        <v>16</v>
      </c>
    </row>
    <row r="1393" spans="1:2" x14ac:dyDescent="0.25">
      <c r="A1393" s="20">
        <v>93635</v>
      </c>
      <c r="B1393" s="21">
        <v>12</v>
      </c>
    </row>
    <row r="1394" spans="1:2" x14ac:dyDescent="0.25">
      <c r="A1394" s="20">
        <v>93636</v>
      </c>
      <c r="B1394" s="21">
        <v>13</v>
      </c>
    </row>
    <row r="1395" spans="1:2" x14ac:dyDescent="0.25">
      <c r="A1395" s="20">
        <v>93637</v>
      </c>
      <c r="B1395" s="21">
        <v>13</v>
      </c>
    </row>
    <row r="1396" spans="1:2" x14ac:dyDescent="0.25">
      <c r="A1396" s="20">
        <v>93638</v>
      </c>
      <c r="B1396" s="21">
        <v>13</v>
      </c>
    </row>
    <row r="1397" spans="1:2" x14ac:dyDescent="0.25">
      <c r="A1397" s="20">
        <v>93639</v>
      </c>
      <c r="B1397" s="21">
        <v>13</v>
      </c>
    </row>
    <row r="1398" spans="1:2" x14ac:dyDescent="0.25">
      <c r="A1398" s="20">
        <v>93640</v>
      </c>
      <c r="B1398" s="21">
        <v>13</v>
      </c>
    </row>
    <row r="1399" spans="1:2" x14ac:dyDescent="0.25">
      <c r="A1399" s="20">
        <v>93641</v>
      </c>
      <c r="B1399" s="21">
        <v>13</v>
      </c>
    </row>
    <row r="1400" spans="1:2" x14ac:dyDescent="0.25">
      <c r="A1400" s="20">
        <v>93642</v>
      </c>
      <c r="B1400" s="21">
        <v>16</v>
      </c>
    </row>
    <row r="1401" spans="1:2" x14ac:dyDescent="0.25">
      <c r="A1401" s="20">
        <v>93643</v>
      </c>
      <c r="B1401" s="21">
        <v>16</v>
      </c>
    </row>
    <row r="1402" spans="1:2" x14ac:dyDescent="0.25">
      <c r="A1402" s="20">
        <v>93644</v>
      </c>
      <c r="B1402" s="21">
        <v>13</v>
      </c>
    </row>
    <row r="1403" spans="1:2" x14ac:dyDescent="0.25">
      <c r="A1403" s="20">
        <v>93645</v>
      </c>
      <c r="B1403" s="21">
        <v>13</v>
      </c>
    </row>
    <row r="1404" spans="1:2" x14ac:dyDescent="0.25">
      <c r="A1404" s="20">
        <v>93646</v>
      </c>
      <c r="B1404" s="21">
        <v>13</v>
      </c>
    </row>
    <row r="1405" spans="1:2" x14ac:dyDescent="0.25">
      <c r="A1405" s="20">
        <v>93647</v>
      </c>
      <c r="B1405" s="21">
        <v>13</v>
      </c>
    </row>
    <row r="1406" spans="1:2" x14ac:dyDescent="0.25">
      <c r="A1406" s="20">
        <v>93648</v>
      </c>
      <c r="B1406" s="21">
        <v>13</v>
      </c>
    </row>
    <row r="1407" spans="1:2" x14ac:dyDescent="0.25">
      <c r="A1407" s="20">
        <v>93649</v>
      </c>
      <c r="B1407" s="21">
        <v>13</v>
      </c>
    </row>
    <row r="1408" spans="1:2" x14ac:dyDescent="0.25">
      <c r="A1408" s="20">
        <v>93650</v>
      </c>
      <c r="B1408" s="21">
        <v>13</v>
      </c>
    </row>
    <row r="1409" spans="1:2" x14ac:dyDescent="0.25">
      <c r="A1409" s="20">
        <v>93651</v>
      </c>
      <c r="B1409" s="21">
        <v>13</v>
      </c>
    </row>
    <row r="1410" spans="1:2" x14ac:dyDescent="0.25">
      <c r="A1410" s="20">
        <v>93652</v>
      </c>
      <c r="B1410" s="21">
        <v>13</v>
      </c>
    </row>
    <row r="1411" spans="1:2" x14ac:dyDescent="0.25">
      <c r="A1411" s="20">
        <v>93653</v>
      </c>
      <c r="B1411" s="21">
        <v>13</v>
      </c>
    </row>
    <row r="1412" spans="1:2" x14ac:dyDescent="0.25">
      <c r="A1412" s="20">
        <v>93654</v>
      </c>
      <c r="B1412" s="21">
        <v>13</v>
      </c>
    </row>
    <row r="1413" spans="1:2" x14ac:dyDescent="0.25">
      <c r="A1413" s="20">
        <v>93656</v>
      </c>
      <c r="B1413" s="21">
        <v>13</v>
      </c>
    </row>
    <row r="1414" spans="1:2" x14ac:dyDescent="0.25">
      <c r="A1414" s="20">
        <v>93657</v>
      </c>
      <c r="B1414" s="21">
        <v>13</v>
      </c>
    </row>
    <row r="1415" spans="1:2" x14ac:dyDescent="0.25">
      <c r="A1415" s="20">
        <v>93660</v>
      </c>
      <c r="B1415" s="21">
        <v>13</v>
      </c>
    </row>
    <row r="1416" spans="1:2" x14ac:dyDescent="0.25">
      <c r="A1416" s="20">
        <v>93661</v>
      </c>
      <c r="B1416" s="21">
        <v>12</v>
      </c>
    </row>
    <row r="1417" spans="1:2" x14ac:dyDescent="0.25">
      <c r="A1417" s="20">
        <v>93662</v>
      </c>
      <c r="B1417" s="21">
        <v>13</v>
      </c>
    </row>
    <row r="1418" spans="1:2" x14ac:dyDescent="0.25">
      <c r="A1418" s="20">
        <v>93664</v>
      </c>
      <c r="B1418" s="21">
        <v>16</v>
      </c>
    </row>
    <row r="1419" spans="1:2" x14ac:dyDescent="0.25">
      <c r="A1419" s="20">
        <v>93665</v>
      </c>
      <c r="B1419" s="21">
        <v>12</v>
      </c>
    </row>
    <row r="1420" spans="1:2" x14ac:dyDescent="0.25">
      <c r="A1420" s="20">
        <v>93666</v>
      </c>
      <c r="B1420" s="21">
        <v>13</v>
      </c>
    </row>
    <row r="1421" spans="1:2" x14ac:dyDescent="0.25">
      <c r="A1421" s="20">
        <v>93667</v>
      </c>
      <c r="B1421" s="21">
        <v>13</v>
      </c>
    </row>
    <row r="1422" spans="1:2" x14ac:dyDescent="0.25">
      <c r="A1422" s="20">
        <v>93668</v>
      </c>
      <c r="B1422" s="21">
        <v>13</v>
      </c>
    </row>
    <row r="1423" spans="1:2" x14ac:dyDescent="0.25">
      <c r="A1423" s="20">
        <v>93669</v>
      </c>
      <c r="B1423" s="21">
        <v>16</v>
      </c>
    </row>
    <row r="1424" spans="1:2" x14ac:dyDescent="0.25">
      <c r="A1424" s="20">
        <v>93670</v>
      </c>
      <c r="B1424" s="21">
        <v>13</v>
      </c>
    </row>
    <row r="1425" spans="1:2" x14ac:dyDescent="0.25">
      <c r="A1425" s="20">
        <v>93673</v>
      </c>
      <c r="B1425" s="21">
        <v>13</v>
      </c>
    </row>
    <row r="1426" spans="1:2" x14ac:dyDescent="0.25">
      <c r="A1426" s="20">
        <v>93675</v>
      </c>
      <c r="B1426" s="21">
        <v>13</v>
      </c>
    </row>
    <row r="1427" spans="1:2" x14ac:dyDescent="0.25">
      <c r="A1427" s="20">
        <v>93701</v>
      </c>
      <c r="B1427" s="21">
        <v>13</v>
      </c>
    </row>
    <row r="1428" spans="1:2" x14ac:dyDescent="0.25">
      <c r="A1428" s="20">
        <v>93702</v>
      </c>
      <c r="B1428" s="21">
        <v>13</v>
      </c>
    </row>
    <row r="1429" spans="1:2" x14ac:dyDescent="0.25">
      <c r="A1429" s="20">
        <v>93703</v>
      </c>
      <c r="B1429" s="21">
        <v>13</v>
      </c>
    </row>
    <row r="1430" spans="1:2" x14ac:dyDescent="0.25">
      <c r="A1430" s="20">
        <v>93704</v>
      </c>
      <c r="B1430" s="21">
        <v>13</v>
      </c>
    </row>
    <row r="1431" spans="1:2" x14ac:dyDescent="0.25">
      <c r="A1431" s="20">
        <v>93705</v>
      </c>
      <c r="B1431" s="21">
        <v>13</v>
      </c>
    </row>
    <row r="1432" spans="1:2" x14ac:dyDescent="0.25">
      <c r="A1432" s="20">
        <v>93706</v>
      </c>
      <c r="B1432" s="21">
        <v>13</v>
      </c>
    </row>
    <row r="1433" spans="1:2" x14ac:dyDescent="0.25">
      <c r="A1433" s="20">
        <v>93707</v>
      </c>
      <c r="B1433" s="21">
        <v>13</v>
      </c>
    </row>
    <row r="1434" spans="1:2" x14ac:dyDescent="0.25">
      <c r="A1434" s="20">
        <v>93708</v>
      </c>
      <c r="B1434" s="21">
        <v>13</v>
      </c>
    </row>
    <row r="1435" spans="1:2" x14ac:dyDescent="0.25">
      <c r="A1435" s="20">
        <v>93709</v>
      </c>
      <c r="B1435" s="21">
        <v>13</v>
      </c>
    </row>
    <row r="1436" spans="1:2" x14ac:dyDescent="0.25">
      <c r="A1436" s="20">
        <v>93710</v>
      </c>
      <c r="B1436" s="21">
        <v>13</v>
      </c>
    </row>
    <row r="1437" spans="1:2" x14ac:dyDescent="0.25">
      <c r="A1437" s="20">
        <v>93711</v>
      </c>
      <c r="B1437" s="21">
        <v>13</v>
      </c>
    </row>
    <row r="1438" spans="1:2" x14ac:dyDescent="0.25">
      <c r="A1438" s="20">
        <v>93712</v>
      </c>
      <c r="B1438" s="21">
        <v>13</v>
      </c>
    </row>
    <row r="1439" spans="1:2" x14ac:dyDescent="0.25">
      <c r="A1439" s="20">
        <v>93714</v>
      </c>
      <c r="B1439" s="21">
        <v>13</v>
      </c>
    </row>
    <row r="1440" spans="1:2" x14ac:dyDescent="0.25">
      <c r="A1440" s="20">
        <v>93715</v>
      </c>
      <c r="B1440" s="21">
        <v>13</v>
      </c>
    </row>
    <row r="1441" spans="1:2" x14ac:dyDescent="0.25">
      <c r="A1441" s="20">
        <v>93716</v>
      </c>
      <c r="B1441" s="21">
        <v>13</v>
      </c>
    </row>
    <row r="1442" spans="1:2" x14ac:dyDescent="0.25">
      <c r="A1442" s="20">
        <v>93717</v>
      </c>
      <c r="B1442" s="21">
        <v>13</v>
      </c>
    </row>
    <row r="1443" spans="1:2" x14ac:dyDescent="0.25">
      <c r="A1443" s="20">
        <v>93718</v>
      </c>
      <c r="B1443" s="21">
        <v>13</v>
      </c>
    </row>
    <row r="1444" spans="1:2" x14ac:dyDescent="0.25">
      <c r="A1444" s="20">
        <v>93720</v>
      </c>
      <c r="B1444" s="21">
        <v>13</v>
      </c>
    </row>
    <row r="1445" spans="1:2" x14ac:dyDescent="0.25">
      <c r="A1445" s="20">
        <v>93721</v>
      </c>
      <c r="B1445" s="21">
        <v>13</v>
      </c>
    </row>
    <row r="1446" spans="1:2" x14ac:dyDescent="0.25">
      <c r="A1446" s="20">
        <v>93722</v>
      </c>
      <c r="B1446" s="21">
        <v>13</v>
      </c>
    </row>
    <row r="1447" spans="1:2" x14ac:dyDescent="0.25">
      <c r="A1447" s="20">
        <v>93723</v>
      </c>
      <c r="B1447" s="21">
        <v>13</v>
      </c>
    </row>
    <row r="1448" spans="1:2" x14ac:dyDescent="0.25">
      <c r="A1448" s="20">
        <v>93724</v>
      </c>
      <c r="B1448" s="21">
        <v>13</v>
      </c>
    </row>
    <row r="1449" spans="1:2" x14ac:dyDescent="0.25">
      <c r="A1449" s="20">
        <v>93725</v>
      </c>
      <c r="B1449" s="21">
        <v>13</v>
      </c>
    </row>
    <row r="1450" spans="1:2" x14ac:dyDescent="0.25">
      <c r="A1450" s="20">
        <v>93726</v>
      </c>
      <c r="B1450" s="21">
        <v>13</v>
      </c>
    </row>
    <row r="1451" spans="1:2" x14ac:dyDescent="0.25">
      <c r="A1451" s="20">
        <v>93727</v>
      </c>
      <c r="B1451" s="21">
        <v>13</v>
      </c>
    </row>
    <row r="1452" spans="1:2" x14ac:dyDescent="0.25">
      <c r="A1452" s="20">
        <v>93728</v>
      </c>
      <c r="B1452" s="21">
        <v>13</v>
      </c>
    </row>
    <row r="1453" spans="1:2" x14ac:dyDescent="0.25">
      <c r="A1453" s="20">
        <v>93729</v>
      </c>
      <c r="B1453" s="21">
        <v>13</v>
      </c>
    </row>
    <row r="1454" spans="1:2" x14ac:dyDescent="0.25">
      <c r="A1454" s="20">
        <v>93730</v>
      </c>
      <c r="B1454" s="21">
        <v>13</v>
      </c>
    </row>
    <row r="1455" spans="1:2" x14ac:dyDescent="0.25">
      <c r="A1455" s="20">
        <v>93737</v>
      </c>
      <c r="B1455" s="21">
        <v>13</v>
      </c>
    </row>
    <row r="1456" spans="1:2" x14ac:dyDescent="0.25">
      <c r="A1456" s="20">
        <v>93740</v>
      </c>
      <c r="B1456" s="21">
        <v>13</v>
      </c>
    </row>
    <row r="1457" spans="1:2" x14ac:dyDescent="0.25">
      <c r="A1457" s="20">
        <v>93741</v>
      </c>
      <c r="B1457" s="21">
        <v>13</v>
      </c>
    </row>
    <row r="1458" spans="1:2" x14ac:dyDescent="0.25">
      <c r="A1458" s="20">
        <v>93744</v>
      </c>
      <c r="B1458" s="21">
        <v>13</v>
      </c>
    </row>
    <row r="1459" spans="1:2" x14ac:dyDescent="0.25">
      <c r="A1459" s="20">
        <v>93745</v>
      </c>
      <c r="B1459" s="21">
        <v>13</v>
      </c>
    </row>
    <row r="1460" spans="1:2" x14ac:dyDescent="0.25">
      <c r="A1460" s="20">
        <v>93747</v>
      </c>
      <c r="B1460" s="21">
        <v>13</v>
      </c>
    </row>
    <row r="1461" spans="1:2" x14ac:dyDescent="0.25">
      <c r="A1461" s="20">
        <v>93750</v>
      </c>
      <c r="B1461" s="21">
        <v>13</v>
      </c>
    </row>
    <row r="1462" spans="1:2" x14ac:dyDescent="0.25">
      <c r="A1462" s="20">
        <v>93755</v>
      </c>
      <c r="B1462" s="21">
        <v>13</v>
      </c>
    </row>
    <row r="1463" spans="1:2" x14ac:dyDescent="0.25">
      <c r="A1463" s="20">
        <v>93759</v>
      </c>
      <c r="B1463" s="21">
        <v>13</v>
      </c>
    </row>
    <row r="1464" spans="1:2" x14ac:dyDescent="0.25">
      <c r="A1464" s="20">
        <v>93760</v>
      </c>
      <c r="B1464" s="21">
        <v>13</v>
      </c>
    </row>
    <row r="1465" spans="1:2" x14ac:dyDescent="0.25">
      <c r="A1465" s="20">
        <v>93761</v>
      </c>
      <c r="B1465" s="21">
        <v>13</v>
      </c>
    </row>
    <row r="1466" spans="1:2" x14ac:dyDescent="0.25">
      <c r="A1466" s="20">
        <v>93762</v>
      </c>
      <c r="B1466" s="21">
        <v>13</v>
      </c>
    </row>
    <row r="1467" spans="1:2" x14ac:dyDescent="0.25">
      <c r="A1467" s="20">
        <v>93764</v>
      </c>
      <c r="B1467" s="21">
        <v>13</v>
      </c>
    </row>
    <row r="1468" spans="1:2" x14ac:dyDescent="0.25">
      <c r="A1468" s="20">
        <v>93765</v>
      </c>
      <c r="B1468" s="21">
        <v>13</v>
      </c>
    </row>
    <row r="1469" spans="1:2" x14ac:dyDescent="0.25">
      <c r="A1469" s="20">
        <v>93771</v>
      </c>
      <c r="B1469" s="21">
        <v>13</v>
      </c>
    </row>
    <row r="1470" spans="1:2" x14ac:dyDescent="0.25">
      <c r="A1470" s="20">
        <v>93772</v>
      </c>
      <c r="B1470" s="21">
        <v>13</v>
      </c>
    </row>
    <row r="1471" spans="1:2" x14ac:dyDescent="0.25">
      <c r="A1471" s="20">
        <v>93773</v>
      </c>
      <c r="B1471" s="21">
        <v>13</v>
      </c>
    </row>
    <row r="1472" spans="1:2" x14ac:dyDescent="0.25">
      <c r="A1472" s="20">
        <v>93774</v>
      </c>
      <c r="B1472" s="21">
        <v>13</v>
      </c>
    </row>
    <row r="1473" spans="1:2" x14ac:dyDescent="0.25">
      <c r="A1473" s="20">
        <v>93775</v>
      </c>
      <c r="B1473" s="21">
        <v>13</v>
      </c>
    </row>
    <row r="1474" spans="1:2" x14ac:dyDescent="0.25">
      <c r="A1474" s="20">
        <v>93776</v>
      </c>
      <c r="B1474" s="21">
        <v>13</v>
      </c>
    </row>
    <row r="1475" spans="1:2" x14ac:dyDescent="0.25">
      <c r="A1475" s="20">
        <v>93777</v>
      </c>
      <c r="B1475" s="21">
        <v>13</v>
      </c>
    </row>
    <row r="1476" spans="1:2" x14ac:dyDescent="0.25">
      <c r="A1476" s="20">
        <v>93778</v>
      </c>
      <c r="B1476" s="21">
        <v>13</v>
      </c>
    </row>
    <row r="1477" spans="1:2" x14ac:dyDescent="0.25">
      <c r="A1477" s="20">
        <v>93779</v>
      </c>
      <c r="B1477" s="21">
        <v>13</v>
      </c>
    </row>
    <row r="1478" spans="1:2" x14ac:dyDescent="0.25">
      <c r="A1478" s="20">
        <v>93780</v>
      </c>
      <c r="B1478" s="21">
        <v>13</v>
      </c>
    </row>
    <row r="1479" spans="1:2" x14ac:dyDescent="0.25">
      <c r="A1479" s="20">
        <v>93782</v>
      </c>
      <c r="B1479" s="21">
        <v>13</v>
      </c>
    </row>
    <row r="1480" spans="1:2" x14ac:dyDescent="0.25">
      <c r="A1480" s="20">
        <v>93784</v>
      </c>
      <c r="B1480" s="21">
        <v>13</v>
      </c>
    </row>
    <row r="1481" spans="1:2" x14ac:dyDescent="0.25">
      <c r="A1481" s="20">
        <v>93786</v>
      </c>
      <c r="B1481" s="21">
        <v>13</v>
      </c>
    </row>
    <row r="1482" spans="1:2" x14ac:dyDescent="0.25">
      <c r="A1482" s="20">
        <v>93790</v>
      </c>
      <c r="B1482" s="21">
        <v>13</v>
      </c>
    </row>
    <row r="1483" spans="1:2" x14ac:dyDescent="0.25">
      <c r="A1483" s="20">
        <v>93791</v>
      </c>
      <c r="B1483" s="21">
        <v>13</v>
      </c>
    </row>
    <row r="1484" spans="1:2" x14ac:dyDescent="0.25">
      <c r="A1484" s="20">
        <v>93792</v>
      </c>
      <c r="B1484" s="21">
        <v>13</v>
      </c>
    </row>
    <row r="1485" spans="1:2" x14ac:dyDescent="0.25">
      <c r="A1485" s="20">
        <v>93793</v>
      </c>
      <c r="B1485" s="21">
        <v>13</v>
      </c>
    </row>
    <row r="1486" spans="1:2" x14ac:dyDescent="0.25">
      <c r="A1486" s="20">
        <v>93794</v>
      </c>
      <c r="B1486" s="21">
        <v>13</v>
      </c>
    </row>
    <row r="1487" spans="1:2" x14ac:dyDescent="0.25">
      <c r="A1487" s="20">
        <v>93844</v>
      </c>
      <c r="B1487" s="21">
        <v>13</v>
      </c>
    </row>
    <row r="1488" spans="1:2" x14ac:dyDescent="0.25">
      <c r="A1488" s="20">
        <v>93888</v>
      </c>
      <c r="B1488" s="21">
        <v>13</v>
      </c>
    </row>
    <row r="1489" spans="1:2" x14ac:dyDescent="0.25">
      <c r="A1489" s="20">
        <v>93901</v>
      </c>
      <c r="B1489" s="21">
        <v>3</v>
      </c>
    </row>
    <row r="1490" spans="1:2" x14ac:dyDescent="0.25">
      <c r="A1490" s="20">
        <v>93902</v>
      </c>
      <c r="B1490" s="21">
        <v>3</v>
      </c>
    </row>
    <row r="1491" spans="1:2" x14ac:dyDescent="0.25">
      <c r="A1491" s="20">
        <v>93905</v>
      </c>
      <c r="B1491" s="21">
        <v>3</v>
      </c>
    </row>
    <row r="1492" spans="1:2" x14ac:dyDescent="0.25">
      <c r="A1492" s="20">
        <v>93906</v>
      </c>
      <c r="B1492" s="21">
        <v>3</v>
      </c>
    </row>
    <row r="1493" spans="1:2" x14ac:dyDescent="0.25">
      <c r="A1493" s="20">
        <v>93907</v>
      </c>
      <c r="B1493" s="21">
        <v>3</v>
      </c>
    </row>
    <row r="1494" spans="1:2" x14ac:dyDescent="0.25">
      <c r="A1494" s="20">
        <v>93908</v>
      </c>
      <c r="B1494" s="21">
        <v>3</v>
      </c>
    </row>
    <row r="1495" spans="1:2" x14ac:dyDescent="0.25">
      <c r="A1495" s="20">
        <v>93912</v>
      </c>
      <c r="B1495" s="21">
        <v>3</v>
      </c>
    </row>
    <row r="1496" spans="1:2" x14ac:dyDescent="0.25">
      <c r="A1496" s="20">
        <v>93915</v>
      </c>
      <c r="B1496" s="21">
        <v>3</v>
      </c>
    </row>
    <row r="1497" spans="1:2" x14ac:dyDescent="0.25">
      <c r="A1497" s="20">
        <v>93920</v>
      </c>
      <c r="B1497" s="21">
        <v>3</v>
      </c>
    </row>
    <row r="1498" spans="1:2" x14ac:dyDescent="0.25">
      <c r="A1498" s="20">
        <v>93921</v>
      </c>
      <c r="B1498" s="21">
        <v>3</v>
      </c>
    </row>
    <row r="1499" spans="1:2" x14ac:dyDescent="0.25">
      <c r="A1499" s="20">
        <v>93922</v>
      </c>
      <c r="B1499" s="21">
        <v>3</v>
      </c>
    </row>
    <row r="1500" spans="1:2" x14ac:dyDescent="0.25">
      <c r="A1500" s="20">
        <v>93923</v>
      </c>
      <c r="B1500" s="21">
        <v>3</v>
      </c>
    </row>
    <row r="1501" spans="1:2" x14ac:dyDescent="0.25">
      <c r="A1501" s="20">
        <v>93924</v>
      </c>
      <c r="B1501" s="21">
        <v>3</v>
      </c>
    </row>
    <row r="1502" spans="1:2" x14ac:dyDescent="0.25">
      <c r="A1502" s="20">
        <v>93925</v>
      </c>
      <c r="B1502" s="21">
        <v>3</v>
      </c>
    </row>
    <row r="1503" spans="1:2" x14ac:dyDescent="0.25">
      <c r="A1503" s="20">
        <v>93926</v>
      </c>
      <c r="B1503" s="21">
        <v>3</v>
      </c>
    </row>
    <row r="1504" spans="1:2" x14ac:dyDescent="0.25">
      <c r="A1504" s="20">
        <v>93927</v>
      </c>
      <c r="B1504" s="21">
        <v>4</v>
      </c>
    </row>
    <row r="1505" spans="1:2" x14ac:dyDescent="0.25">
      <c r="A1505" s="20">
        <v>93928</v>
      </c>
      <c r="B1505" s="21">
        <v>4</v>
      </c>
    </row>
    <row r="1506" spans="1:2" x14ac:dyDescent="0.25">
      <c r="A1506" s="20">
        <v>93930</v>
      </c>
      <c r="B1506" s="21">
        <v>4</v>
      </c>
    </row>
    <row r="1507" spans="1:2" x14ac:dyDescent="0.25">
      <c r="A1507" s="20">
        <v>93932</v>
      </c>
      <c r="B1507" s="21">
        <v>4</v>
      </c>
    </row>
    <row r="1508" spans="1:2" x14ac:dyDescent="0.25">
      <c r="A1508" s="20">
        <v>93933</v>
      </c>
      <c r="B1508" s="21">
        <v>3</v>
      </c>
    </row>
    <row r="1509" spans="1:2" x14ac:dyDescent="0.25">
      <c r="A1509" s="20">
        <v>93940</v>
      </c>
      <c r="B1509" s="21">
        <v>3</v>
      </c>
    </row>
    <row r="1510" spans="1:2" x14ac:dyDescent="0.25">
      <c r="A1510" s="20">
        <v>93942</v>
      </c>
      <c r="B1510" s="21">
        <v>3</v>
      </c>
    </row>
    <row r="1511" spans="1:2" x14ac:dyDescent="0.25">
      <c r="A1511" s="20">
        <v>93943</v>
      </c>
      <c r="B1511" s="21">
        <v>3</v>
      </c>
    </row>
    <row r="1512" spans="1:2" x14ac:dyDescent="0.25">
      <c r="A1512" s="20">
        <v>93944</v>
      </c>
      <c r="B1512" s="21">
        <v>3</v>
      </c>
    </row>
    <row r="1513" spans="1:2" x14ac:dyDescent="0.25">
      <c r="A1513" s="20">
        <v>93950</v>
      </c>
      <c r="B1513" s="21">
        <v>3</v>
      </c>
    </row>
    <row r="1514" spans="1:2" x14ac:dyDescent="0.25">
      <c r="A1514" s="20">
        <v>93953</v>
      </c>
      <c r="B1514" s="21">
        <v>3</v>
      </c>
    </row>
    <row r="1515" spans="1:2" x14ac:dyDescent="0.25">
      <c r="A1515" s="20">
        <v>93954</v>
      </c>
      <c r="B1515" s="21">
        <v>4</v>
      </c>
    </row>
    <row r="1516" spans="1:2" x14ac:dyDescent="0.25">
      <c r="A1516" s="20">
        <v>93955</v>
      </c>
      <c r="B1516" s="21">
        <v>3</v>
      </c>
    </row>
    <row r="1517" spans="1:2" x14ac:dyDescent="0.25">
      <c r="A1517" s="20">
        <v>93960</v>
      </c>
      <c r="B1517" s="21">
        <v>3</v>
      </c>
    </row>
    <row r="1518" spans="1:2" x14ac:dyDescent="0.25">
      <c r="A1518" s="20">
        <v>93962</v>
      </c>
      <c r="B1518" s="21">
        <v>3</v>
      </c>
    </row>
    <row r="1519" spans="1:2" x14ac:dyDescent="0.25">
      <c r="A1519" s="20">
        <v>94002</v>
      </c>
      <c r="B1519" s="21">
        <v>3</v>
      </c>
    </row>
    <row r="1520" spans="1:2" x14ac:dyDescent="0.25">
      <c r="A1520" s="20">
        <v>94003</v>
      </c>
      <c r="B1520" s="21">
        <v>3</v>
      </c>
    </row>
    <row r="1521" spans="1:2" x14ac:dyDescent="0.25">
      <c r="A1521" s="20">
        <v>94005</v>
      </c>
      <c r="B1521" s="21">
        <v>3</v>
      </c>
    </row>
    <row r="1522" spans="1:2" x14ac:dyDescent="0.25">
      <c r="A1522" s="20">
        <v>94010</v>
      </c>
      <c r="B1522" s="21">
        <v>3</v>
      </c>
    </row>
    <row r="1523" spans="1:2" x14ac:dyDescent="0.25">
      <c r="A1523" s="20">
        <v>94011</v>
      </c>
      <c r="B1523" s="21">
        <v>3</v>
      </c>
    </row>
    <row r="1524" spans="1:2" x14ac:dyDescent="0.25">
      <c r="A1524" s="20">
        <v>94012</v>
      </c>
      <c r="B1524" s="21">
        <v>3</v>
      </c>
    </row>
    <row r="1525" spans="1:2" x14ac:dyDescent="0.25">
      <c r="A1525" s="20">
        <v>94014</v>
      </c>
      <c r="B1525" s="21">
        <v>3</v>
      </c>
    </row>
    <row r="1526" spans="1:2" x14ac:dyDescent="0.25">
      <c r="A1526" s="20">
        <v>94015</v>
      </c>
      <c r="B1526" s="21">
        <v>3</v>
      </c>
    </row>
    <row r="1527" spans="1:2" x14ac:dyDescent="0.25">
      <c r="A1527" s="20">
        <v>94016</v>
      </c>
      <c r="B1527" s="21">
        <v>3</v>
      </c>
    </row>
    <row r="1528" spans="1:2" x14ac:dyDescent="0.25">
      <c r="A1528" s="20">
        <v>94017</v>
      </c>
      <c r="B1528" s="21">
        <v>3</v>
      </c>
    </row>
    <row r="1529" spans="1:2" x14ac:dyDescent="0.25">
      <c r="A1529" s="20">
        <v>94018</v>
      </c>
      <c r="B1529" s="21">
        <v>3</v>
      </c>
    </row>
    <row r="1530" spans="1:2" x14ac:dyDescent="0.25">
      <c r="A1530" s="20">
        <v>94019</v>
      </c>
      <c r="B1530" s="21">
        <v>3</v>
      </c>
    </row>
    <row r="1531" spans="1:2" x14ac:dyDescent="0.25">
      <c r="A1531" s="20">
        <v>94020</v>
      </c>
      <c r="B1531" s="21">
        <v>3</v>
      </c>
    </row>
    <row r="1532" spans="1:2" x14ac:dyDescent="0.25">
      <c r="A1532" s="20">
        <v>94021</v>
      </c>
      <c r="B1532" s="21">
        <v>3</v>
      </c>
    </row>
    <row r="1533" spans="1:2" x14ac:dyDescent="0.25">
      <c r="A1533" s="20">
        <v>94022</v>
      </c>
      <c r="B1533" s="21">
        <v>4</v>
      </c>
    </row>
    <row r="1534" spans="1:2" x14ac:dyDescent="0.25">
      <c r="A1534" s="20">
        <v>94023</v>
      </c>
      <c r="B1534" s="21">
        <v>4</v>
      </c>
    </row>
    <row r="1535" spans="1:2" x14ac:dyDescent="0.25">
      <c r="A1535" s="20">
        <v>94024</v>
      </c>
      <c r="B1535" s="21">
        <v>4</v>
      </c>
    </row>
    <row r="1536" spans="1:2" x14ac:dyDescent="0.25">
      <c r="A1536" s="20">
        <v>94025</v>
      </c>
      <c r="B1536" s="21">
        <v>3</v>
      </c>
    </row>
    <row r="1537" spans="1:2" x14ac:dyDescent="0.25">
      <c r="A1537" s="20">
        <v>94026</v>
      </c>
      <c r="B1537" s="21">
        <v>3</v>
      </c>
    </row>
    <row r="1538" spans="1:2" x14ac:dyDescent="0.25">
      <c r="A1538" s="20">
        <v>94027</v>
      </c>
      <c r="B1538" s="21">
        <v>3</v>
      </c>
    </row>
    <row r="1539" spans="1:2" x14ac:dyDescent="0.25">
      <c r="A1539" s="20">
        <v>94028</v>
      </c>
      <c r="B1539" s="21">
        <v>3</v>
      </c>
    </row>
    <row r="1540" spans="1:2" x14ac:dyDescent="0.25">
      <c r="A1540" s="20">
        <v>94029</v>
      </c>
      <c r="B1540" s="21">
        <v>3</v>
      </c>
    </row>
    <row r="1541" spans="1:2" x14ac:dyDescent="0.25">
      <c r="A1541" s="20">
        <v>94030</v>
      </c>
      <c r="B1541" s="21">
        <v>3</v>
      </c>
    </row>
    <row r="1542" spans="1:2" x14ac:dyDescent="0.25">
      <c r="A1542" s="20">
        <v>94031</v>
      </c>
      <c r="B1542" s="21">
        <v>3</v>
      </c>
    </row>
    <row r="1543" spans="1:2" x14ac:dyDescent="0.25">
      <c r="A1543" s="20">
        <v>94035</v>
      </c>
      <c r="B1543" s="21">
        <v>4</v>
      </c>
    </row>
    <row r="1544" spans="1:2" x14ac:dyDescent="0.25">
      <c r="A1544" s="20">
        <v>94037</v>
      </c>
      <c r="B1544" s="21">
        <v>3</v>
      </c>
    </row>
    <row r="1545" spans="1:2" x14ac:dyDescent="0.25">
      <c r="A1545" s="20">
        <v>94038</v>
      </c>
      <c r="B1545" s="21">
        <v>3</v>
      </c>
    </row>
    <row r="1546" spans="1:2" x14ac:dyDescent="0.25">
      <c r="A1546" s="20">
        <v>94039</v>
      </c>
      <c r="B1546" s="21">
        <v>4</v>
      </c>
    </row>
    <row r="1547" spans="1:2" x14ac:dyDescent="0.25">
      <c r="A1547" s="20">
        <v>94040</v>
      </c>
      <c r="B1547" s="21">
        <v>4</v>
      </c>
    </row>
    <row r="1548" spans="1:2" x14ac:dyDescent="0.25">
      <c r="A1548" s="20">
        <v>94041</v>
      </c>
      <c r="B1548" s="21">
        <v>4</v>
      </c>
    </row>
    <row r="1549" spans="1:2" x14ac:dyDescent="0.25">
      <c r="A1549" s="20">
        <v>94042</v>
      </c>
      <c r="B1549" s="21">
        <v>4</v>
      </c>
    </row>
    <row r="1550" spans="1:2" x14ac:dyDescent="0.25">
      <c r="A1550" s="20">
        <v>94043</v>
      </c>
      <c r="B1550" s="21">
        <v>4</v>
      </c>
    </row>
    <row r="1551" spans="1:2" x14ac:dyDescent="0.25">
      <c r="A1551" s="20">
        <v>94044</v>
      </c>
      <c r="B1551" s="21">
        <v>3</v>
      </c>
    </row>
    <row r="1552" spans="1:2" x14ac:dyDescent="0.25">
      <c r="A1552" s="20">
        <v>94045</v>
      </c>
      <c r="B1552" s="21">
        <v>3</v>
      </c>
    </row>
    <row r="1553" spans="1:2" x14ac:dyDescent="0.25">
      <c r="A1553" s="20">
        <v>94059</v>
      </c>
      <c r="B1553" s="21">
        <v>3</v>
      </c>
    </row>
    <row r="1554" spans="1:2" x14ac:dyDescent="0.25">
      <c r="A1554" s="20">
        <v>94060</v>
      </c>
      <c r="B1554" s="21">
        <v>3</v>
      </c>
    </row>
    <row r="1555" spans="1:2" x14ac:dyDescent="0.25">
      <c r="A1555" s="20">
        <v>94061</v>
      </c>
      <c r="B1555" s="21">
        <v>3</v>
      </c>
    </row>
    <row r="1556" spans="1:2" x14ac:dyDescent="0.25">
      <c r="A1556" s="20">
        <v>94062</v>
      </c>
      <c r="B1556" s="21">
        <v>3</v>
      </c>
    </row>
    <row r="1557" spans="1:2" x14ac:dyDescent="0.25">
      <c r="A1557" s="20">
        <v>94063</v>
      </c>
      <c r="B1557" s="21">
        <v>3</v>
      </c>
    </row>
    <row r="1558" spans="1:2" x14ac:dyDescent="0.25">
      <c r="A1558" s="20">
        <v>94064</v>
      </c>
      <c r="B1558" s="21">
        <v>3</v>
      </c>
    </row>
    <row r="1559" spans="1:2" x14ac:dyDescent="0.25">
      <c r="A1559" s="20">
        <v>94065</v>
      </c>
      <c r="B1559" s="21">
        <v>3</v>
      </c>
    </row>
    <row r="1560" spans="1:2" x14ac:dyDescent="0.25">
      <c r="A1560" s="20">
        <v>94066</v>
      </c>
      <c r="B1560" s="21">
        <v>3</v>
      </c>
    </row>
    <row r="1561" spans="1:2" x14ac:dyDescent="0.25">
      <c r="A1561" s="20">
        <v>94067</v>
      </c>
      <c r="B1561" s="21">
        <v>3</v>
      </c>
    </row>
    <row r="1562" spans="1:2" x14ac:dyDescent="0.25">
      <c r="A1562" s="20">
        <v>94070</v>
      </c>
      <c r="B1562" s="21">
        <v>3</v>
      </c>
    </row>
    <row r="1563" spans="1:2" x14ac:dyDescent="0.25">
      <c r="A1563" s="20">
        <v>94071</v>
      </c>
      <c r="B1563" s="21">
        <v>3</v>
      </c>
    </row>
    <row r="1564" spans="1:2" x14ac:dyDescent="0.25">
      <c r="A1564" s="20">
        <v>94074</v>
      </c>
      <c r="B1564" s="21">
        <v>3</v>
      </c>
    </row>
    <row r="1565" spans="1:2" x14ac:dyDescent="0.25">
      <c r="A1565" s="20">
        <v>94080</v>
      </c>
      <c r="B1565" s="21">
        <v>3</v>
      </c>
    </row>
    <row r="1566" spans="1:2" x14ac:dyDescent="0.25">
      <c r="A1566" s="20">
        <v>94083</v>
      </c>
      <c r="B1566" s="21">
        <v>3</v>
      </c>
    </row>
    <row r="1567" spans="1:2" x14ac:dyDescent="0.25">
      <c r="A1567" s="20">
        <v>94085</v>
      </c>
      <c r="B1567" s="21">
        <v>4</v>
      </c>
    </row>
    <row r="1568" spans="1:2" x14ac:dyDescent="0.25">
      <c r="A1568" s="20">
        <v>94086</v>
      </c>
      <c r="B1568" s="21">
        <v>4</v>
      </c>
    </row>
    <row r="1569" spans="1:2" x14ac:dyDescent="0.25">
      <c r="A1569" s="20">
        <v>94087</v>
      </c>
      <c r="B1569" s="21">
        <v>4</v>
      </c>
    </row>
    <row r="1570" spans="1:2" x14ac:dyDescent="0.25">
      <c r="A1570" s="20">
        <v>94088</v>
      </c>
      <c r="B1570" s="21">
        <v>3</v>
      </c>
    </row>
    <row r="1571" spans="1:2" x14ac:dyDescent="0.25">
      <c r="A1571" s="20">
        <v>94089</v>
      </c>
      <c r="B1571" s="21">
        <v>4</v>
      </c>
    </row>
    <row r="1572" spans="1:2" x14ac:dyDescent="0.25">
      <c r="A1572" s="20">
        <v>94090</v>
      </c>
      <c r="B1572" s="21">
        <v>4</v>
      </c>
    </row>
    <row r="1573" spans="1:2" x14ac:dyDescent="0.25">
      <c r="A1573" s="20">
        <v>94096</v>
      </c>
      <c r="B1573" s="21">
        <v>3</v>
      </c>
    </row>
    <row r="1574" spans="1:2" x14ac:dyDescent="0.25">
      <c r="A1574" s="20">
        <v>94098</v>
      </c>
      <c r="B1574" s="21">
        <v>3</v>
      </c>
    </row>
    <row r="1575" spans="1:2" x14ac:dyDescent="0.25">
      <c r="A1575" s="20">
        <v>94099</v>
      </c>
      <c r="B1575" s="21">
        <v>3</v>
      </c>
    </row>
    <row r="1576" spans="1:2" x14ac:dyDescent="0.25">
      <c r="A1576" s="20">
        <v>94101</v>
      </c>
      <c r="B1576" s="21">
        <v>3</v>
      </c>
    </row>
    <row r="1577" spans="1:2" x14ac:dyDescent="0.25">
      <c r="A1577" s="20">
        <v>94102</v>
      </c>
      <c r="B1577" s="21">
        <v>3</v>
      </c>
    </row>
    <row r="1578" spans="1:2" x14ac:dyDescent="0.25">
      <c r="A1578" s="20">
        <v>94103</v>
      </c>
      <c r="B1578" s="21">
        <v>3</v>
      </c>
    </row>
    <row r="1579" spans="1:2" x14ac:dyDescent="0.25">
      <c r="A1579" s="20">
        <v>94104</v>
      </c>
      <c r="B1579" s="21">
        <v>3</v>
      </c>
    </row>
    <row r="1580" spans="1:2" x14ac:dyDescent="0.25">
      <c r="A1580" s="20">
        <v>94105</v>
      </c>
      <c r="B1580" s="21">
        <v>3</v>
      </c>
    </row>
    <row r="1581" spans="1:2" x14ac:dyDescent="0.25">
      <c r="A1581" s="20">
        <v>94106</v>
      </c>
      <c r="B1581" s="21">
        <v>3</v>
      </c>
    </row>
    <row r="1582" spans="1:2" x14ac:dyDescent="0.25">
      <c r="A1582" s="20">
        <v>94107</v>
      </c>
      <c r="B1582" s="21">
        <v>3</v>
      </c>
    </row>
    <row r="1583" spans="1:2" x14ac:dyDescent="0.25">
      <c r="A1583" s="20">
        <v>94108</v>
      </c>
      <c r="B1583" s="21">
        <v>3</v>
      </c>
    </row>
    <row r="1584" spans="1:2" x14ac:dyDescent="0.25">
      <c r="A1584" s="20">
        <v>94109</v>
      </c>
      <c r="B1584" s="21">
        <v>3</v>
      </c>
    </row>
    <row r="1585" spans="1:2" x14ac:dyDescent="0.25">
      <c r="A1585" s="20">
        <v>94110</v>
      </c>
      <c r="B1585" s="21">
        <v>3</v>
      </c>
    </row>
    <row r="1586" spans="1:2" x14ac:dyDescent="0.25">
      <c r="A1586" s="20">
        <v>94111</v>
      </c>
      <c r="B1586" s="21">
        <v>3</v>
      </c>
    </row>
    <row r="1587" spans="1:2" x14ac:dyDescent="0.25">
      <c r="A1587" s="20">
        <v>94112</v>
      </c>
      <c r="B1587" s="21">
        <v>3</v>
      </c>
    </row>
    <row r="1588" spans="1:2" x14ac:dyDescent="0.25">
      <c r="A1588" s="20">
        <v>94114</v>
      </c>
      <c r="B1588" s="21">
        <v>3</v>
      </c>
    </row>
    <row r="1589" spans="1:2" x14ac:dyDescent="0.25">
      <c r="A1589" s="20">
        <v>94115</v>
      </c>
      <c r="B1589" s="21">
        <v>3</v>
      </c>
    </row>
    <row r="1590" spans="1:2" x14ac:dyDescent="0.25">
      <c r="A1590" s="20">
        <v>94116</v>
      </c>
      <c r="B1590" s="21">
        <v>3</v>
      </c>
    </row>
    <row r="1591" spans="1:2" x14ac:dyDescent="0.25">
      <c r="A1591" s="20">
        <v>94117</v>
      </c>
      <c r="B1591" s="21">
        <v>3</v>
      </c>
    </row>
    <row r="1592" spans="1:2" x14ac:dyDescent="0.25">
      <c r="A1592" s="20">
        <v>94118</v>
      </c>
      <c r="B1592" s="21">
        <v>3</v>
      </c>
    </row>
    <row r="1593" spans="1:2" x14ac:dyDescent="0.25">
      <c r="A1593" s="20">
        <v>94119</v>
      </c>
      <c r="B1593" s="21">
        <v>3</v>
      </c>
    </row>
    <row r="1594" spans="1:2" x14ac:dyDescent="0.25">
      <c r="A1594" s="20">
        <v>94120</v>
      </c>
      <c r="B1594" s="21">
        <v>3</v>
      </c>
    </row>
    <row r="1595" spans="1:2" x14ac:dyDescent="0.25">
      <c r="A1595" s="20">
        <v>94121</v>
      </c>
      <c r="B1595" s="21">
        <v>3</v>
      </c>
    </row>
    <row r="1596" spans="1:2" x14ac:dyDescent="0.25">
      <c r="A1596" s="20">
        <v>94122</v>
      </c>
      <c r="B1596" s="21">
        <v>3</v>
      </c>
    </row>
    <row r="1597" spans="1:2" x14ac:dyDescent="0.25">
      <c r="A1597" s="20">
        <v>94123</v>
      </c>
      <c r="B1597" s="21">
        <v>3</v>
      </c>
    </row>
    <row r="1598" spans="1:2" x14ac:dyDescent="0.25">
      <c r="A1598" s="20">
        <v>94124</v>
      </c>
      <c r="B1598" s="21">
        <v>3</v>
      </c>
    </row>
    <row r="1599" spans="1:2" x14ac:dyDescent="0.25">
      <c r="A1599" s="20">
        <v>94125</v>
      </c>
      <c r="B1599" s="21">
        <v>3</v>
      </c>
    </row>
    <row r="1600" spans="1:2" x14ac:dyDescent="0.25">
      <c r="A1600" s="20">
        <v>94126</v>
      </c>
      <c r="B1600" s="21">
        <v>3</v>
      </c>
    </row>
    <row r="1601" spans="1:2" x14ac:dyDescent="0.25">
      <c r="A1601" s="20">
        <v>94127</v>
      </c>
      <c r="B1601" s="21">
        <v>3</v>
      </c>
    </row>
    <row r="1602" spans="1:2" x14ac:dyDescent="0.25">
      <c r="A1602" s="20">
        <v>94128</v>
      </c>
      <c r="B1602" s="21">
        <v>3</v>
      </c>
    </row>
    <row r="1603" spans="1:2" x14ac:dyDescent="0.25">
      <c r="A1603" s="20">
        <v>94129</v>
      </c>
      <c r="B1603" s="21">
        <v>3</v>
      </c>
    </row>
    <row r="1604" spans="1:2" x14ac:dyDescent="0.25">
      <c r="A1604" s="20">
        <v>94130</v>
      </c>
      <c r="B1604" s="21">
        <v>3</v>
      </c>
    </row>
    <row r="1605" spans="1:2" x14ac:dyDescent="0.25">
      <c r="A1605" s="20">
        <v>94131</v>
      </c>
      <c r="B1605" s="21">
        <v>3</v>
      </c>
    </row>
    <row r="1606" spans="1:2" x14ac:dyDescent="0.25">
      <c r="A1606" s="20">
        <v>94132</v>
      </c>
      <c r="B1606" s="21">
        <v>3</v>
      </c>
    </row>
    <row r="1607" spans="1:2" x14ac:dyDescent="0.25">
      <c r="A1607" s="20">
        <v>94133</v>
      </c>
      <c r="B1607" s="21">
        <v>3</v>
      </c>
    </row>
    <row r="1608" spans="1:2" x14ac:dyDescent="0.25">
      <c r="A1608" s="20">
        <v>94134</v>
      </c>
      <c r="B1608" s="21">
        <v>3</v>
      </c>
    </row>
    <row r="1609" spans="1:2" x14ac:dyDescent="0.25">
      <c r="A1609" s="20">
        <v>94135</v>
      </c>
      <c r="B1609" s="21">
        <v>3</v>
      </c>
    </row>
    <row r="1610" spans="1:2" x14ac:dyDescent="0.25">
      <c r="A1610" s="20">
        <v>94136</v>
      </c>
      <c r="B1610" s="21">
        <v>3</v>
      </c>
    </row>
    <row r="1611" spans="1:2" x14ac:dyDescent="0.25">
      <c r="A1611" s="20">
        <v>94137</v>
      </c>
      <c r="B1611" s="21">
        <v>3</v>
      </c>
    </row>
    <row r="1612" spans="1:2" x14ac:dyDescent="0.25">
      <c r="A1612" s="20">
        <v>94138</v>
      </c>
      <c r="B1612" s="21">
        <v>3</v>
      </c>
    </row>
    <row r="1613" spans="1:2" x14ac:dyDescent="0.25">
      <c r="A1613" s="20">
        <v>94139</v>
      </c>
      <c r="B1613" s="21">
        <v>3</v>
      </c>
    </row>
    <row r="1614" spans="1:2" x14ac:dyDescent="0.25">
      <c r="A1614" s="20">
        <v>94140</v>
      </c>
      <c r="B1614" s="21">
        <v>3</v>
      </c>
    </row>
    <row r="1615" spans="1:2" x14ac:dyDescent="0.25">
      <c r="A1615" s="20">
        <v>94141</v>
      </c>
      <c r="B1615" s="21">
        <v>3</v>
      </c>
    </row>
    <row r="1616" spans="1:2" x14ac:dyDescent="0.25">
      <c r="A1616" s="20">
        <v>94142</v>
      </c>
      <c r="B1616" s="21">
        <v>3</v>
      </c>
    </row>
    <row r="1617" spans="1:2" x14ac:dyDescent="0.25">
      <c r="A1617" s="20">
        <v>94143</v>
      </c>
      <c r="B1617" s="21">
        <v>3</v>
      </c>
    </row>
    <row r="1618" spans="1:2" x14ac:dyDescent="0.25">
      <c r="A1618" s="20">
        <v>94144</v>
      </c>
      <c r="B1618" s="21">
        <v>3</v>
      </c>
    </row>
    <row r="1619" spans="1:2" x14ac:dyDescent="0.25">
      <c r="A1619" s="20">
        <v>94145</v>
      </c>
      <c r="B1619" s="21">
        <v>3</v>
      </c>
    </row>
    <row r="1620" spans="1:2" x14ac:dyDescent="0.25">
      <c r="A1620" s="20">
        <v>94146</v>
      </c>
      <c r="B1620" s="21">
        <v>3</v>
      </c>
    </row>
    <row r="1621" spans="1:2" x14ac:dyDescent="0.25">
      <c r="A1621" s="20">
        <v>94147</v>
      </c>
      <c r="B1621" s="21">
        <v>3</v>
      </c>
    </row>
    <row r="1622" spans="1:2" x14ac:dyDescent="0.25">
      <c r="A1622" s="20">
        <v>94150</v>
      </c>
      <c r="B1622" s="21">
        <v>3</v>
      </c>
    </row>
    <row r="1623" spans="1:2" x14ac:dyDescent="0.25">
      <c r="A1623" s="20">
        <v>94151</v>
      </c>
      <c r="B1623" s="21">
        <v>3</v>
      </c>
    </row>
    <row r="1624" spans="1:2" x14ac:dyDescent="0.25">
      <c r="A1624" s="20">
        <v>94152</v>
      </c>
      <c r="B1624" s="21">
        <v>3</v>
      </c>
    </row>
    <row r="1625" spans="1:2" x14ac:dyDescent="0.25">
      <c r="A1625" s="20">
        <v>94153</v>
      </c>
      <c r="B1625" s="21">
        <v>3</v>
      </c>
    </row>
    <row r="1626" spans="1:2" x14ac:dyDescent="0.25">
      <c r="A1626" s="20">
        <v>94154</v>
      </c>
      <c r="B1626" s="21">
        <v>3</v>
      </c>
    </row>
    <row r="1627" spans="1:2" x14ac:dyDescent="0.25">
      <c r="A1627" s="20">
        <v>94155</v>
      </c>
      <c r="B1627" s="21">
        <v>3</v>
      </c>
    </row>
    <row r="1628" spans="1:2" x14ac:dyDescent="0.25">
      <c r="A1628" s="20">
        <v>94156</v>
      </c>
      <c r="B1628" s="21">
        <v>3</v>
      </c>
    </row>
    <row r="1629" spans="1:2" x14ac:dyDescent="0.25">
      <c r="A1629" s="20">
        <v>94157</v>
      </c>
      <c r="B1629" s="21">
        <v>3</v>
      </c>
    </row>
    <row r="1630" spans="1:2" x14ac:dyDescent="0.25">
      <c r="A1630" s="20">
        <v>94158</v>
      </c>
      <c r="B1630" s="21">
        <v>3</v>
      </c>
    </row>
    <row r="1631" spans="1:2" x14ac:dyDescent="0.25">
      <c r="A1631" s="20">
        <v>94159</v>
      </c>
      <c r="B1631" s="21">
        <v>3</v>
      </c>
    </row>
    <row r="1632" spans="1:2" x14ac:dyDescent="0.25">
      <c r="A1632" s="20">
        <v>94160</v>
      </c>
      <c r="B1632" s="21">
        <v>3</v>
      </c>
    </row>
    <row r="1633" spans="1:2" x14ac:dyDescent="0.25">
      <c r="A1633" s="20">
        <v>94161</v>
      </c>
      <c r="B1633" s="21">
        <v>3</v>
      </c>
    </row>
    <row r="1634" spans="1:2" x14ac:dyDescent="0.25">
      <c r="A1634" s="20">
        <v>94162</v>
      </c>
      <c r="B1634" s="21">
        <v>3</v>
      </c>
    </row>
    <row r="1635" spans="1:2" x14ac:dyDescent="0.25">
      <c r="A1635" s="20">
        <v>94163</v>
      </c>
      <c r="B1635" s="21">
        <v>3</v>
      </c>
    </row>
    <row r="1636" spans="1:2" x14ac:dyDescent="0.25">
      <c r="A1636" s="20">
        <v>94164</v>
      </c>
      <c r="B1636" s="21">
        <v>3</v>
      </c>
    </row>
    <row r="1637" spans="1:2" x14ac:dyDescent="0.25">
      <c r="A1637" s="20">
        <v>94165</v>
      </c>
      <c r="B1637" s="21">
        <v>3</v>
      </c>
    </row>
    <row r="1638" spans="1:2" x14ac:dyDescent="0.25">
      <c r="A1638" s="20">
        <v>94166</v>
      </c>
      <c r="B1638" s="21">
        <v>3</v>
      </c>
    </row>
    <row r="1639" spans="1:2" x14ac:dyDescent="0.25">
      <c r="A1639" s="20">
        <v>94167</v>
      </c>
      <c r="B1639" s="21">
        <v>3</v>
      </c>
    </row>
    <row r="1640" spans="1:2" x14ac:dyDescent="0.25">
      <c r="A1640" s="20">
        <v>94168</v>
      </c>
      <c r="B1640" s="21">
        <v>3</v>
      </c>
    </row>
    <row r="1641" spans="1:2" x14ac:dyDescent="0.25">
      <c r="A1641" s="20">
        <v>94169</v>
      </c>
      <c r="B1641" s="21">
        <v>3</v>
      </c>
    </row>
    <row r="1642" spans="1:2" x14ac:dyDescent="0.25">
      <c r="A1642" s="20">
        <v>94170</v>
      </c>
      <c r="B1642" s="21">
        <v>3</v>
      </c>
    </row>
    <row r="1643" spans="1:2" x14ac:dyDescent="0.25">
      <c r="A1643" s="20">
        <v>94171</v>
      </c>
      <c r="B1643" s="21">
        <v>3</v>
      </c>
    </row>
    <row r="1644" spans="1:2" x14ac:dyDescent="0.25">
      <c r="A1644" s="20">
        <v>94172</v>
      </c>
      <c r="B1644" s="21">
        <v>3</v>
      </c>
    </row>
    <row r="1645" spans="1:2" x14ac:dyDescent="0.25">
      <c r="A1645" s="20">
        <v>94175</v>
      </c>
      <c r="B1645" s="21">
        <v>3</v>
      </c>
    </row>
    <row r="1646" spans="1:2" x14ac:dyDescent="0.25">
      <c r="A1646" s="20">
        <v>94177</v>
      </c>
      <c r="B1646" s="21">
        <v>3</v>
      </c>
    </row>
    <row r="1647" spans="1:2" x14ac:dyDescent="0.25">
      <c r="A1647" s="20">
        <v>94188</v>
      </c>
      <c r="B1647" s="21">
        <v>3</v>
      </c>
    </row>
    <row r="1648" spans="1:2" x14ac:dyDescent="0.25">
      <c r="A1648" s="20">
        <v>94203</v>
      </c>
      <c r="B1648" s="21">
        <v>12</v>
      </c>
    </row>
    <row r="1649" spans="1:2" x14ac:dyDescent="0.25">
      <c r="A1649" s="20">
        <v>94204</v>
      </c>
      <c r="B1649" s="21">
        <v>12</v>
      </c>
    </row>
    <row r="1650" spans="1:2" x14ac:dyDescent="0.25">
      <c r="A1650" s="20">
        <v>94205</v>
      </c>
      <c r="B1650" s="21">
        <v>12</v>
      </c>
    </row>
    <row r="1651" spans="1:2" x14ac:dyDescent="0.25">
      <c r="A1651" s="20">
        <v>94206</v>
      </c>
      <c r="B1651" s="21">
        <v>12</v>
      </c>
    </row>
    <row r="1652" spans="1:2" x14ac:dyDescent="0.25">
      <c r="A1652" s="20">
        <v>94207</v>
      </c>
      <c r="B1652" s="21">
        <v>12</v>
      </c>
    </row>
    <row r="1653" spans="1:2" x14ac:dyDescent="0.25">
      <c r="A1653" s="20">
        <v>94208</v>
      </c>
      <c r="B1653" s="21">
        <v>12</v>
      </c>
    </row>
    <row r="1654" spans="1:2" x14ac:dyDescent="0.25">
      <c r="A1654" s="20">
        <v>94209</v>
      </c>
      <c r="B1654" s="21">
        <v>12</v>
      </c>
    </row>
    <row r="1655" spans="1:2" x14ac:dyDescent="0.25">
      <c r="A1655" s="20">
        <v>94211</v>
      </c>
      <c r="B1655" s="21">
        <v>12</v>
      </c>
    </row>
    <row r="1656" spans="1:2" x14ac:dyDescent="0.25">
      <c r="A1656" s="20">
        <v>94229</v>
      </c>
      <c r="B1656" s="21">
        <v>12</v>
      </c>
    </row>
    <row r="1657" spans="1:2" x14ac:dyDescent="0.25">
      <c r="A1657" s="20">
        <v>94230</v>
      </c>
      <c r="B1657" s="21">
        <v>12</v>
      </c>
    </row>
    <row r="1658" spans="1:2" x14ac:dyDescent="0.25">
      <c r="A1658" s="20">
        <v>94232</v>
      </c>
      <c r="B1658" s="21">
        <v>12</v>
      </c>
    </row>
    <row r="1659" spans="1:2" x14ac:dyDescent="0.25">
      <c r="A1659" s="20">
        <v>94234</v>
      </c>
      <c r="B1659" s="21">
        <v>12</v>
      </c>
    </row>
    <row r="1660" spans="1:2" x14ac:dyDescent="0.25">
      <c r="A1660" s="20">
        <v>94235</v>
      </c>
      <c r="B1660" s="21">
        <v>12</v>
      </c>
    </row>
    <row r="1661" spans="1:2" x14ac:dyDescent="0.25">
      <c r="A1661" s="20">
        <v>94236</v>
      </c>
      <c r="B1661" s="21">
        <v>12</v>
      </c>
    </row>
    <row r="1662" spans="1:2" x14ac:dyDescent="0.25">
      <c r="A1662" s="20">
        <v>94237</v>
      </c>
      <c r="B1662" s="21">
        <v>12</v>
      </c>
    </row>
    <row r="1663" spans="1:2" x14ac:dyDescent="0.25">
      <c r="A1663" s="20">
        <v>94239</v>
      </c>
      <c r="B1663" s="21">
        <v>12</v>
      </c>
    </row>
    <row r="1664" spans="1:2" x14ac:dyDescent="0.25">
      <c r="A1664" s="20">
        <v>94240</v>
      </c>
      <c r="B1664" s="21">
        <v>12</v>
      </c>
    </row>
    <row r="1665" spans="1:2" x14ac:dyDescent="0.25">
      <c r="A1665" s="20">
        <v>94243</v>
      </c>
      <c r="B1665" s="21">
        <v>12</v>
      </c>
    </row>
    <row r="1666" spans="1:2" x14ac:dyDescent="0.25">
      <c r="A1666" s="20">
        <v>94244</v>
      </c>
      <c r="B1666" s="21">
        <v>12</v>
      </c>
    </row>
    <row r="1667" spans="1:2" x14ac:dyDescent="0.25">
      <c r="A1667" s="20">
        <v>94245</v>
      </c>
      <c r="B1667" s="21">
        <v>12</v>
      </c>
    </row>
    <row r="1668" spans="1:2" x14ac:dyDescent="0.25">
      <c r="A1668" s="20">
        <v>94246</v>
      </c>
      <c r="B1668" s="21">
        <v>12</v>
      </c>
    </row>
    <row r="1669" spans="1:2" x14ac:dyDescent="0.25">
      <c r="A1669" s="20">
        <v>94247</v>
      </c>
      <c r="B1669" s="21">
        <v>12</v>
      </c>
    </row>
    <row r="1670" spans="1:2" x14ac:dyDescent="0.25">
      <c r="A1670" s="20">
        <v>94248</v>
      </c>
      <c r="B1670" s="21">
        <v>12</v>
      </c>
    </row>
    <row r="1671" spans="1:2" x14ac:dyDescent="0.25">
      <c r="A1671" s="20">
        <v>94249</v>
      </c>
      <c r="B1671" s="21">
        <v>12</v>
      </c>
    </row>
    <row r="1672" spans="1:2" x14ac:dyDescent="0.25">
      <c r="A1672" s="20">
        <v>94250</v>
      </c>
      <c r="B1672" s="21">
        <v>12</v>
      </c>
    </row>
    <row r="1673" spans="1:2" x14ac:dyDescent="0.25">
      <c r="A1673" s="20">
        <v>94252</v>
      </c>
      <c r="B1673" s="21">
        <v>12</v>
      </c>
    </row>
    <row r="1674" spans="1:2" x14ac:dyDescent="0.25">
      <c r="A1674" s="20">
        <v>94253</v>
      </c>
      <c r="B1674" s="21">
        <v>12</v>
      </c>
    </row>
    <row r="1675" spans="1:2" x14ac:dyDescent="0.25">
      <c r="A1675" s="20">
        <v>94254</v>
      </c>
      <c r="B1675" s="21">
        <v>12</v>
      </c>
    </row>
    <row r="1676" spans="1:2" x14ac:dyDescent="0.25">
      <c r="A1676" s="20">
        <v>94256</v>
      </c>
      <c r="B1676" s="21">
        <v>12</v>
      </c>
    </row>
    <row r="1677" spans="1:2" x14ac:dyDescent="0.25">
      <c r="A1677" s="20">
        <v>94257</v>
      </c>
      <c r="B1677" s="21">
        <v>12</v>
      </c>
    </row>
    <row r="1678" spans="1:2" x14ac:dyDescent="0.25">
      <c r="A1678" s="20">
        <v>94258</v>
      </c>
      <c r="B1678" s="21">
        <v>12</v>
      </c>
    </row>
    <row r="1679" spans="1:2" x14ac:dyDescent="0.25">
      <c r="A1679" s="20">
        <v>94259</v>
      </c>
      <c r="B1679" s="21">
        <v>12</v>
      </c>
    </row>
    <row r="1680" spans="1:2" x14ac:dyDescent="0.25">
      <c r="A1680" s="20">
        <v>94261</v>
      </c>
      <c r="B1680" s="21">
        <v>12</v>
      </c>
    </row>
    <row r="1681" spans="1:2" x14ac:dyDescent="0.25">
      <c r="A1681" s="20">
        <v>94262</v>
      </c>
      <c r="B1681" s="21">
        <v>12</v>
      </c>
    </row>
    <row r="1682" spans="1:2" x14ac:dyDescent="0.25">
      <c r="A1682" s="20">
        <v>94263</v>
      </c>
      <c r="B1682" s="21">
        <v>12</v>
      </c>
    </row>
    <row r="1683" spans="1:2" x14ac:dyDescent="0.25">
      <c r="A1683" s="20">
        <v>94267</v>
      </c>
      <c r="B1683" s="21">
        <v>12</v>
      </c>
    </row>
    <row r="1684" spans="1:2" x14ac:dyDescent="0.25">
      <c r="A1684" s="20">
        <v>94268</v>
      </c>
      <c r="B1684" s="21">
        <v>12</v>
      </c>
    </row>
    <row r="1685" spans="1:2" x14ac:dyDescent="0.25">
      <c r="A1685" s="20">
        <v>94269</v>
      </c>
      <c r="B1685" s="21">
        <v>12</v>
      </c>
    </row>
    <row r="1686" spans="1:2" x14ac:dyDescent="0.25">
      <c r="A1686" s="20">
        <v>94271</v>
      </c>
      <c r="B1686" s="21">
        <v>12</v>
      </c>
    </row>
    <row r="1687" spans="1:2" x14ac:dyDescent="0.25">
      <c r="A1687" s="20">
        <v>94273</v>
      </c>
      <c r="B1687" s="21">
        <v>12</v>
      </c>
    </row>
    <row r="1688" spans="1:2" x14ac:dyDescent="0.25">
      <c r="A1688" s="20">
        <v>94274</v>
      </c>
      <c r="B1688" s="21">
        <v>12</v>
      </c>
    </row>
    <row r="1689" spans="1:2" x14ac:dyDescent="0.25">
      <c r="A1689" s="20">
        <v>94277</v>
      </c>
      <c r="B1689" s="21">
        <v>12</v>
      </c>
    </row>
    <row r="1690" spans="1:2" x14ac:dyDescent="0.25">
      <c r="A1690" s="20">
        <v>94278</v>
      </c>
      <c r="B1690" s="21">
        <v>12</v>
      </c>
    </row>
    <row r="1691" spans="1:2" x14ac:dyDescent="0.25">
      <c r="A1691" s="20">
        <v>94279</v>
      </c>
      <c r="B1691" s="21">
        <v>12</v>
      </c>
    </row>
    <row r="1692" spans="1:2" x14ac:dyDescent="0.25">
      <c r="A1692" s="20">
        <v>94280</v>
      </c>
      <c r="B1692" s="21">
        <v>12</v>
      </c>
    </row>
    <row r="1693" spans="1:2" x14ac:dyDescent="0.25">
      <c r="A1693" s="20">
        <v>94282</v>
      </c>
      <c r="B1693" s="21">
        <v>12</v>
      </c>
    </row>
    <row r="1694" spans="1:2" x14ac:dyDescent="0.25">
      <c r="A1694" s="20">
        <v>94283</v>
      </c>
      <c r="B1694" s="21">
        <v>12</v>
      </c>
    </row>
    <row r="1695" spans="1:2" x14ac:dyDescent="0.25">
      <c r="A1695" s="20">
        <v>94284</v>
      </c>
      <c r="B1695" s="21">
        <v>12</v>
      </c>
    </row>
    <row r="1696" spans="1:2" x14ac:dyDescent="0.25">
      <c r="A1696" s="20">
        <v>94285</v>
      </c>
      <c r="B1696" s="21">
        <v>12</v>
      </c>
    </row>
    <row r="1697" spans="1:2" x14ac:dyDescent="0.25">
      <c r="A1697" s="20">
        <v>94286</v>
      </c>
      <c r="B1697" s="21">
        <v>12</v>
      </c>
    </row>
    <row r="1698" spans="1:2" x14ac:dyDescent="0.25">
      <c r="A1698" s="20">
        <v>94287</v>
      </c>
      <c r="B1698" s="21">
        <v>12</v>
      </c>
    </row>
    <row r="1699" spans="1:2" x14ac:dyDescent="0.25">
      <c r="A1699" s="20">
        <v>94288</v>
      </c>
      <c r="B1699" s="21">
        <v>12</v>
      </c>
    </row>
    <row r="1700" spans="1:2" x14ac:dyDescent="0.25">
      <c r="A1700" s="20">
        <v>94289</v>
      </c>
      <c r="B1700" s="21">
        <v>12</v>
      </c>
    </row>
    <row r="1701" spans="1:2" x14ac:dyDescent="0.25">
      <c r="A1701" s="20">
        <v>94290</v>
      </c>
      <c r="B1701" s="21">
        <v>12</v>
      </c>
    </row>
    <row r="1702" spans="1:2" x14ac:dyDescent="0.25">
      <c r="A1702" s="20">
        <v>94291</v>
      </c>
      <c r="B1702" s="21">
        <v>12</v>
      </c>
    </row>
    <row r="1703" spans="1:2" x14ac:dyDescent="0.25">
      <c r="A1703" s="20">
        <v>94293</v>
      </c>
      <c r="B1703" s="21">
        <v>12</v>
      </c>
    </row>
    <row r="1704" spans="1:2" x14ac:dyDescent="0.25">
      <c r="A1704" s="20">
        <v>94294</v>
      </c>
      <c r="B1704" s="21">
        <v>12</v>
      </c>
    </row>
    <row r="1705" spans="1:2" x14ac:dyDescent="0.25">
      <c r="A1705" s="20">
        <v>94295</v>
      </c>
      <c r="B1705" s="21">
        <v>12</v>
      </c>
    </row>
    <row r="1706" spans="1:2" x14ac:dyDescent="0.25">
      <c r="A1706" s="20">
        <v>94296</v>
      </c>
      <c r="B1706" s="21">
        <v>12</v>
      </c>
    </row>
    <row r="1707" spans="1:2" x14ac:dyDescent="0.25">
      <c r="A1707" s="20">
        <v>94297</v>
      </c>
      <c r="B1707" s="21">
        <v>12</v>
      </c>
    </row>
    <row r="1708" spans="1:2" x14ac:dyDescent="0.25">
      <c r="A1708" s="20">
        <v>94298</v>
      </c>
      <c r="B1708" s="21">
        <v>12</v>
      </c>
    </row>
    <row r="1709" spans="1:2" x14ac:dyDescent="0.25">
      <c r="A1709" s="20">
        <v>94299</v>
      </c>
      <c r="B1709" s="21">
        <v>12</v>
      </c>
    </row>
    <row r="1710" spans="1:2" x14ac:dyDescent="0.25">
      <c r="A1710" s="20">
        <v>94301</v>
      </c>
      <c r="B1710" s="21">
        <v>4</v>
      </c>
    </row>
    <row r="1711" spans="1:2" x14ac:dyDescent="0.25">
      <c r="A1711" s="20">
        <v>94302</v>
      </c>
      <c r="B1711" s="21">
        <v>4</v>
      </c>
    </row>
    <row r="1712" spans="1:2" x14ac:dyDescent="0.25">
      <c r="A1712" s="20">
        <v>94303</v>
      </c>
      <c r="B1712" s="21">
        <v>4</v>
      </c>
    </row>
    <row r="1713" spans="1:2" x14ac:dyDescent="0.25">
      <c r="A1713" s="20">
        <v>94304</v>
      </c>
      <c r="B1713" s="21">
        <v>4</v>
      </c>
    </row>
    <row r="1714" spans="1:2" x14ac:dyDescent="0.25">
      <c r="A1714" s="20">
        <v>94305</v>
      </c>
      <c r="B1714" s="21">
        <v>4</v>
      </c>
    </row>
    <row r="1715" spans="1:2" x14ac:dyDescent="0.25">
      <c r="A1715" s="20">
        <v>94306</v>
      </c>
      <c r="B1715" s="21">
        <v>4</v>
      </c>
    </row>
    <row r="1716" spans="1:2" x14ac:dyDescent="0.25">
      <c r="A1716" s="20">
        <v>94307</v>
      </c>
      <c r="B1716" s="21">
        <v>4</v>
      </c>
    </row>
    <row r="1717" spans="1:2" x14ac:dyDescent="0.25">
      <c r="A1717" s="20">
        <v>94308</v>
      </c>
      <c r="B1717" s="21">
        <v>4</v>
      </c>
    </row>
    <row r="1718" spans="1:2" x14ac:dyDescent="0.25">
      <c r="A1718" s="20">
        <v>94309</v>
      </c>
      <c r="B1718" s="21">
        <v>4</v>
      </c>
    </row>
    <row r="1719" spans="1:2" x14ac:dyDescent="0.25">
      <c r="A1719" s="20">
        <v>94310</v>
      </c>
      <c r="B1719" s="21">
        <v>4</v>
      </c>
    </row>
    <row r="1720" spans="1:2" x14ac:dyDescent="0.25">
      <c r="A1720" s="20">
        <v>94401</v>
      </c>
      <c r="B1720" s="21">
        <v>3</v>
      </c>
    </row>
    <row r="1721" spans="1:2" x14ac:dyDescent="0.25">
      <c r="A1721" s="20">
        <v>94402</v>
      </c>
      <c r="B1721" s="21">
        <v>3</v>
      </c>
    </row>
    <row r="1722" spans="1:2" x14ac:dyDescent="0.25">
      <c r="A1722" s="20">
        <v>94403</v>
      </c>
      <c r="B1722" s="21">
        <v>3</v>
      </c>
    </row>
    <row r="1723" spans="1:2" x14ac:dyDescent="0.25">
      <c r="A1723" s="20">
        <v>94404</v>
      </c>
      <c r="B1723" s="21">
        <v>3</v>
      </c>
    </row>
    <row r="1724" spans="1:2" x14ac:dyDescent="0.25">
      <c r="A1724" s="20">
        <v>94405</v>
      </c>
      <c r="B1724" s="21">
        <v>3</v>
      </c>
    </row>
    <row r="1725" spans="1:2" x14ac:dyDescent="0.25">
      <c r="A1725" s="20">
        <v>94406</v>
      </c>
      <c r="B1725" s="21">
        <v>3</v>
      </c>
    </row>
    <row r="1726" spans="1:2" x14ac:dyDescent="0.25">
      <c r="A1726" s="20">
        <v>94407</v>
      </c>
      <c r="B1726" s="21">
        <v>3</v>
      </c>
    </row>
    <row r="1727" spans="1:2" x14ac:dyDescent="0.25">
      <c r="A1727" s="20">
        <v>94408</v>
      </c>
      <c r="B1727" s="21">
        <v>3</v>
      </c>
    </row>
    <row r="1728" spans="1:2" x14ac:dyDescent="0.25">
      <c r="A1728" s="20">
        <v>94409</v>
      </c>
      <c r="B1728" s="21">
        <v>3</v>
      </c>
    </row>
    <row r="1729" spans="1:2" x14ac:dyDescent="0.25">
      <c r="A1729" s="20">
        <v>94497</v>
      </c>
      <c r="B1729" s="21">
        <v>3</v>
      </c>
    </row>
    <row r="1730" spans="1:2" x14ac:dyDescent="0.25">
      <c r="A1730" s="20">
        <v>94501</v>
      </c>
      <c r="B1730" s="21">
        <v>3</v>
      </c>
    </row>
    <row r="1731" spans="1:2" x14ac:dyDescent="0.25">
      <c r="A1731" s="20">
        <v>94502</v>
      </c>
      <c r="B1731" s="21">
        <v>3</v>
      </c>
    </row>
    <row r="1732" spans="1:2" x14ac:dyDescent="0.25">
      <c r="A1732" s="20">
        <v>94503</v>
      </c>
      <c r="B1732" s="21">
        <v>2</v>
      </c>
    </row>
    <row r="1733" spans="1:2" x14ac:dyDescent="0.25">
      <c r="A1733" s="20">
        <v>94505</v>
      </c>
      <c r="B1733" s="21">
        <v>12</v>
      </c>
    </row>
    <row r="1734" spans="1:2" x14ac:dyDescent="0.25">
      <c r="A1734" s="20">
        <v>94506</v>
      </c>
      <c r="B1734" s="21">
        <v>12</v>
      </c>
    </row>
    <row r="1735" spans="1:2" x14ac:dyDescent="0.25">
      <c r="A1735" s="20">
        <v>94507</v>
      </c>
      <c r="B1735" s="21">
        <v>12</v>
      </c>
    </row>
    <row r="1736" spans="1:2" x14ac:dyDescent="0.25">
      <c r="A1736" s="20">
        <v>94508</v>
      </c>
      <c r="B1736" s="21">
        <v>2</v>
      </c>
    </row>
    <row r="1737" spans="1:2" x14ac:dyDescent="0.25">
      <c r="A1737" s="20">
        <v>94509</v>
      </c>
      <c r="B1737" s="21">
        <v>12</v>
      </c>
    </row>
    <row r="1738" spans="1:2" x14ac:dyDescent="0.25">
      <c r="A1738" s="20">
        <v>94510</v>
      </c>
      <c r="B1738" s="21">
        <v>12</v>
      </c>
    </row>
    <row r="1739" spans="1:2" x14ac:dyDescent="0.25">
      <c r="A1739" s="20">
        <v>94511</v>
      </c>
      <c r="B1739" s="21">
        <v>12</v>
      </c>
    </row>
    <row r="1740" spans="1:2" x14ac:dyDescent="0.25">
      <c r="A1740" s="20">
        <v>94512</v>
      </c>
      <c r="B1740" s="21">
        <v>12</v>
      </c>
    </row>
    <row r="1741" spans="1:2" x14ac:dyDescent="0.25">
      <c r="A1741" s="20">
        <v>94513</v>
      </c>
      <c r="B1741" s="21">
        <v>12</v>
      </c>
    </row>
    <row r="1742" spans="1:2" x14ac:dyDescent="0.25">
      <c r="A1742" s="20">
        <v>94514</v>
      </c>
      <c r="B1742" s="21">
        <v>12</v>
      </c>
    </row>
    <row r="1743" spans="1:2" x14ac:dyDescent="0.25">
      <c r="A1743" s="20">
        <v>94515</v>
      </c>
      <c r="B1743" s="21">
        <v>2</v>
      </c>
    </row>
    <row r="1744" spans="1:2" x14ac:dyDescent="0.25">
      <c r="A1744" s="20">
        <v>94516</v>
      </c>
      <c r="B1744" s="21">
        <v>12</v>
      </c>
    </row>
    <row r="1745" spans="1:2" x14ac:dyDescent="0.25">
      <c r="A1745" s="20">
        <v>94517</v>
      </c>
      <c r="B1745" s="21">
        <v>12</v>
      </c>
    </row>
    <row r="1746" spans="1:2" x14ac:dyDescent="0.25">
      <c r="A1746" s="20">
        <v>94518</v>
      </c>
      <c r="B1746" s="21">
        <v>12</v>
      </c>
    </row>
    <row r="1747" spans="1:2" x14ac:dyDescent="0.25">
      <c r="A1747" s="20">
        <v>94519</v>
      </c>
      <c r="B1747" s="21">
        <v>12</v>
      </c>
    </row>
    <row r="1748" spans="1:2" x14ac:dyDescent="0.25">
      <c r="A1748" s="20">
        <v>94520</v>
      </c>
      <c r="B1748" s="21">
        <v>12</v>
      </c>
    </row>
    <row r="1749" spans="1:2" x14ac:dyDescent="0.25">
      <c r="A1749" s="20">
        <v>94521</v>
      </c>
      <c r="B1749" s="21">
        <v>12</v>
      </c>
    </row>
    <row r="1750" spans="1:2" x14ac:dyDescent="0.25">
      <c r="A1750" s="20">
        <v>94522</v>
      </c>
      <c r="B1750" s="21">
        <v>12</v>
      </c>
    </row>
    <row r="1751" spans="1:2" x14ac:dyDescent="0.25">
      <c r="A1751" s="20">
        <v>94523</v>
      </c>
      <c r="B1751" s="21">
        <v>12</v>
      </c>
    </row>
    <row r="1752" spans="1:2" x14ac:dyDescent="0.25">
      <c r="A1752" s="20">
        <v>94524</v>
      </c>
      <c r="B1752" s="21">
        <v>12</v>
      </c>
    </row>
    <row r="1753" spans="1:2" x14ac:dyDescent="0.25">
      <c r="A1753" s="20">
        <v>94525</v>
      </c>
      <c r="B1753" s="21">
        <v>12</v>
      </c>
    </row>
    <row r="1754" spans="1:2" x14ac:dyDescent="0.25">
      <c r="A1754" s="20">
        <v>94526</v>
      </c>
      <c r="B1754" s="21">
        <v>12</v>
      </c>
    </row>
    <row r="1755" spans="1:2" x14ac:dyDescent="0.25">
      <c r="A1755" s="20">
        <v>94527</v>
      </c>
      <c r="B1755" s="21">
        <v>12</v>
      </c>
    </row>
    <row r="1756" spans="1:2" x14ac:dyDescent="0.25">
      <c r="A1756" s="20">
        <v>94528</v>
      </c>
      <c r="B1756" s="21">
        <v>12</v>
      </c>
    </row>
    <row r="1757" spans="1:2" x14ac:dyDescent="0.25">
      <c r="A1757" s="20">
        <v>94529</v>
      </c>
      <c r="B1757" s="21">
        <v>12</v>
      </c>
    </row>
    <row r="1758" spans="1:2" x14ac:dyDescent="0.25">
      <c r="A1758" s="20">
        <v>94530</v>
      </c>
      <c r="B1758" s="21">
        <v>3</v>
      </c>
    </row>
    <row r="1759" spans="1:2" x14ac:dyDescent="0.25">
      <c r="A1759" s="20">
        <v>94531</v>
      </c>
      <c r="B1759" s="21">
        <v>12</v>
      </c>
    </row>
    <row r="1760" spans="1:2" x14ac:dyDescent="0.25">
      <c r="A1760" s="20">
        <v>94533</v>
      </c>
      <c r="B1760" s="21">
        <v>12</v>
      </c>
    </row>
    <row r="1761" spans="1:2" x14ac:dyDescent="0.25">
      <c r="A1761" s="20">
        <v>94534</v>
      </c>
      <c r="B1761" s="21">
        <v>12</v>
      </c>
    </row>
    <row r="1762" spans="1:2" x14ac:dyDescent="0.25">
      <c r="A1762" s="20">
        <v>94535</v>
      </c>
      <c r="B1762" s="21">
        <v>12</v>
      </c>
    </row>
    <row r="1763" spans="1:2" x14ac:dyDescent="0.25">
      <c r="A1763" s="20">
        <v>94536</v>
      </c>
      <c r="B1763" s="21">
        <v>3</v>
      </c>
    </row>
    <row r="1764" spans="1:2" x14ac:dyDescent="0.25">
      <c r="A1764" s="20">
        <v>94537</v>
      </c>
      <c r="B1764" s="21">
        <v>3</v>
      </c>
    </row>
    <row r="1765" spans="1:2" x14ac:dyDescent="0.25">
      <c r="A1765" s="20">
        <v>94538</v>
      </c>
      <c r="B1765" s="21">
        <v>3</v>
      </c>
    </row>
    <row r="1766" spans="1:2" x14ac:dyDescent="0.25">
      <c r="A1766" s="20">
        <v>94539</v>
      </c>
      <c r="B1766" s="21">
        <v>3</v>
      </c>
    </row>
    <row r="1767" spans="1:2" x14ac:dyDescent="0.25">
      <c r="A1767" s="20">
        <v>94540</v>
      </c>
      <c r="B1767" s="21">
        <v>3</v>
      </c>
    </row>
    <row r="1768" spans="1:2" x14ac:dyDescent="0.25">
      <c r="A1768" s="20">
        <v>94541</v>
      </c>
      <c r="B1768" s="21">
        <v>3</v>
      </c>
    </row>
    <row r="1769" spans="1:2" x14ac:dyDescent="0.25">
      <c r="A1769" s="20">
        <v>94542</v>
      </c>
      <c r="B1769" s="21">
        <v>3</v>
      </c>
    </row>
    <row r="1770" spans="1:2" x14ac:dyDescent="0.25">
      <c r="A1770" s="20">
        <v>94543</v>
      </c>
      <c r="B1770" s="21">
        <v>3</v>
      </c>
    </row>
    <row r="1771" spans="1:2" x14ac:dyDescent="0.25">
      <c r="A1771" s="20">
        <v>94544</v>
      </c>
      <c r="B1771" s="21">
        <v>3</v>
      </c>
    </row>
    <row r="1772" spans="1:2" x14ac:dyDescent="0.25">
      <c r="A1772" s="20">
        <v>94545</v>
      </c>
      <c r="B1772" s="21">
        <v>3</v>
      </c>
    </row>
    <row r="1773" spans="1:2" x14ac:dyDescent="0.25">
      <c r="A1773" s="20">
        <v>94546</v>
      </c>
      <c r="B1773" s="21">
        <v>3</v>
      </c>
    </row>
    <row r="1774" spans="1:2" x14ac:dyDescent="0.25">
      <c r="A1774" s="20">
        <v>94547</v>
      </c>
      <c r="B1774" s="21">
        <v>3</v>
      </c>
    </row>
    <row r="1775" spans="1:2" x14ac:dyDescent="0.25">
      <c r="A1775" s="20">
        <v>94548</v>
      </c>
      <c r="B1775" s="21">
        <v>12</v>
      </c>
    </row>
    <row r="1776" spans="1:2" x14ac:dyDescent="0.25">
      <c r="A1776" s="20">
        <v>94549</v>
      </c>
      <c r="B1776" s="21">
        <v>12</v>
      </c>
    </row>
    <row r="1777" spans="1:2" x14ac:dyDescent="0.25">
      <c r="A1777" s="20">
        <v>94550</v>
      </c>
      <c r="B1777" s="21">
        <v>12</v>
      </c>
    </row>
    <row r="1778" spans="1:2" x14ac:dyDescent="0.25">
      <c r="A1778" s="20">
        <v>94551</v>
      </c>
      <c r="B1778" s="21">
        <v>12</v>
      </c>
    </row>
    <row r="1779" spans="1:2" x14ac:dyDescent="0.25">
      <c r="A1779" s="20">
        <v>94552</v>
      </c>
      <c r="B1779" s="21">
        <v>3</v>
      </c>
    </row>
    <row r="1780" spans="1:2" x14ac:dyDescent="0.25">
      <c r="A1780" s="20">
        <v>94553</v>
      </c>
      <c r="B1780" s="21">
        <v>12</v>
      </c>
    </row>
    <row r="1781" spans="1:2" x14ac:dyDescent="0.25">
      <c r="A1781" s="20">
        <v>94555</v>
      </c>
      <c r="B1781" s="21">
        <v>3</v>
      </c>
    </row>
    <row r="1782" spans="1:2" x14ac:dyDescent="0.25">
      <c r="A1782" s="20">
        <v>94556</v>
      </c>
      <c r="B1782" s="21">
        <v>12</v>
      </c>
    </row>
    <row r="1783" spans="1:2" x14ac:dyDescent="0.25">
      <c r="A1783" s="20">
        <v>94557</v>
      </c>
      <c r="B1783" s="21">
        <v>3</v>
      </c>
    </row>
    <row r="1784" spans="1:2" x14ac:dyDescent="0.25">
      <c r="A1784" s="20">
        <v>94558</v>
      </c>
      <c r="B1784" s="21">
        <v>2</v>
      </c>
    </row>
    <row r="1785" spans="1:2" x14ac:dyDescent="0.25">
      <c r="A1785" s="20">
        <v>94559</v>
      </c>
      <c r="B1785" s="21">
        <v>2</v>
      </c>
    </row>
    <row r="1786" spans="1:2" x14ac:dyDescent="0.25">
      <c r="A1786" s="20">
        <v>94560</v>
      </c>
      <c r="B1786" s="21">
        <v>3</v>
      </c>
    </row>
    <row r="1787" spans="1:2" x14ac:dyDescent="0.25">
      <c r="A1787" s="20">
        <v>94561</v>
      </c>
      <c r="B1787" s="21">
        <v>12</v>
      </c>
    </row>
    <row r="1788" spans="1:2" x14ac:dyDescent="0.25">
      <c r="A1788" s="20">
        <v>94562</v>
      </c>
      <c r="B1788" s="21">
        <v>2</v>
      </c>
    </row>
    <row r="1789" spans="1:2" x14ac:dyDescent="0.25">
      <c r="A1789" s="20">
        <v>94563</v>
      </c>
      <c r="B1789" s="21">
        <v>12</v>
      </c>
    </row>
    <row r="1790" spans="1:2" x14ac:dyDescent="0.25">
      <c r="A1790" s="20">
        <v>94564</v>
      </c>
      <c r="B1790" s="21">
        <v>3</v>
      </c>
    </row>
    <row r="1791" spans="1:2" x14ac:dyDescent="0.25">
      <c r="A1791" s="20">
        <v>94565</v>
      </c>
      <c r="B1791" s="21">
        <v>12</v>
      </c>
    </row>
    <row r="1792" spans="1:2" x14ac:dyDescent="0.25">
      <c r="A1792" s="20">
        <v>94566</v>
      </c>
      <c r="B1792" s="21">
        <v>12</v>
      </c>
    </row>
    <row r="1793" spans="1:2" x14ac:dyDescent="0.25">
      <c r="A1793" s="20">
        <v>94567</v>
      </c>
      <c r="B1793" s="21">
        <v>2</v>
      </c>
    </row>
    <row r="1794" spans="1:2" x14ac:dyDescent="0.25">
      <c r="A1794" s="20">
        <v>94568</v>
      </c>
      <c r="B1794" s="21">
        <v>12</v>
      </c>
    </row>
    <row r="1795" spans="1:2" x14ac:dyDescent="0.25">
      <c r="A1795" s="20">
        <v>94569</v>
      </c>
      <c r="B1795" s="21">
        <v>12</v>
      </c>
    </row>
    <row r="1796" spans="1:2" x14ac:dyDescent="0.25">
      <c r="A1796" s="20">
        <v>94570</v>
      </c>
      <c r="B1796" s="21">
        <v>12</v>
      </c>
    </row>
    <row r="1797" spans="1:2" x14ac:dyDescent="0.25">
      <c r="A1797" s="20">
        <v>94571</v>
      </c>
      <c r="B1797" s="21">
        <v>12</v>
      </c>
    </row>
    <row r="1798" spans="1:2" x14ac:dyDescent="0.25">
      <c r="A1798" s="20">
        <v>94572</v>
      </c>
      <c r="B1798" s="21">
        <v>3</v>
      </c>
    </row>
    <row r="1799" spans="1:2" x14ac:dyDescent="0.25">
      <c r="A1799" s="20">
        <v>94573</v>
      </c>
      <c r="B1799" s="21">
        <v>2</v>
      </c>
    </row>
    <row r="1800" spans="1:2" x14ac:dyDescent="0.25">
      <c r="A1800" s="20">
        <v>94574</v>
      </c>
      <c r="B1800" s="21">
        <v>2</v>
      </c>
    </row>
    <row r="1801" spans="1:2" x14ac:dyDescent="0.25">
      <c r="A1801" s="20">
        <v>94575</v>
      </c>
      <c r="B1801" s="21">
        <v>12</v>
      </c>
    </row>
    <row r="1802" spans="1:2" x14ac:dyDescent="0.25">
      <c r="A1802" s="20">
        <v>94576</v>
      </c>
      <c r="B1802" s="21">
        <v>2</v>
      </c>
    </row>
    <row r="1803" spans="1:2" x14ac:dyDescent="0.25">
      <c r="A1803" s="20">
        <v>94577</v>
      </c>
      <c r="B1803" s="21">
        <v>3</v>
      </c>
    </row>
    <row r="1804" spans="1:2" x14ac:dyDescent="0.25">
      <c r="A1804" s="20">
        <v>94578</v>
      </c>
      <c r="B1804" s="21">
        <v>3</v>
      </c>
    </row>
    <row r="1805" spans="1:2" x14ac:dyDescent="0.25">
      <c r="A1805" s="20">
        <v>94579</v>
      </c>
      <c r="B1805" s="21">
        <v>3</v>
      </c>
    </row>
    <row r="1806" spans="1:2" x14ac:dyDescent="0.25">
      <c r="A1806" s="20">
        <v>94580</v>
      </c>
      <c r="B1806" s="21">
        <v>3</v>
      </c>
    </row>
    <row r="1807" spans="1:2" x14ac:dyDescent="0.25">
      <c r="A1807" s="20">
        <v>94581</v>
      </c>
      <c r="B1807" s="21">
        <v>2</v>
      </c>
    </row>
    <row r="1808" spans="1:2" x14ac:dyDescent="0.25">
      <c r="A1808" s="20">
        <v>94582</v>
      </c>
      <c r="B1808" s="21">
        <v>12</v>
      </c>
    </row>
    <row r="1809" spans="1:2" x14ac:dyDescent="0.25">
      <c r="A1809" s="20">
        <v>94583</v>
      </c>
      <c r="B1809" s="21">
        <v>12</v>
      </c>
    </row>
    <row r="1810" spans="1:2" x14ac:dyDescent="0.25">
      <c r="A1810" s="20">
        <v>94585</v>
      </c>
      <c r="B1810" s="21">
        <v>12</v>
      </c>
    </row>
    <row r="1811" spans="1:2" x14ac:dyDescent="0.25">
      <c r="A1811" s="20">
        <v>94586</v>
      </c>
      <c r="B1811" s="21">
        <v>12</v>
      </c>
    </row>
    <row r="1812" spans="1:2" x14ac:dyDescent="0.25">
      <c r="A1812" s="20">
        <v>94587</v>
      </c>
      <c r="B1812" s="21">
        <v>3</v>
      </c>
    </row>
    <row r="1813" spans="1:2" x14ac:dyDescent="0.25">
      <c r="A1813" s="20">
        <v>94588</v>
      </c>
      <c r="B1813" s="21">
        <v>12</v>
      </c>
    </row>
    <row r="1814" spans="1:2" x14ac:dyDescent="0.25">
      <c r="A1814" s="20">
        <v>94589</v>
      </c>
      <c r="B1814" s="21">
        <v>3</v>
      </c>
    </row>
    <row r="1815" spans="1:2" x14ac:dyDescent="0.25">
      <c r="A1815" s="20">
        <v>94590</v>
      </c>
      <c r="B1815" s="21">
        <v>3</v>
      </c>
    </row>
    <row r="1816" spans="1:2" x14ac:dyDescent="0.25">
      <c r="A1816" s="20">
        <v>94591</v>
      </c>
      <c r="B1816" s="21">
        <v>12</v>
      </c>
    </row>
    <row r="1817" spans="1:2" x14ac:dyDescent="0.25">
      <c r="A1817" s="20">
        <v>94592</v>
      </c>
      <c r="B1817" s="21">
        <v>3</v>
      </c>
    </row>
    <row r="1818" spans="1:2" x14ac:dyDescent="0.25">
      <c r="A1818" s="20">
        <v>94595</v>
      </c>
      <c r="B1818" s="21">
        <v>12</v>
      </c>
    </row>
    <row r="1819" spans="1:2" x14ac:dyDescent="0.25">
      <c r="A1819" s="20">
        <v>94596</v>
      </c>
      <c r="B1819" s="21">
        <v>12</v>
      </c>
    </row>
    <row r="1820" spans="1:2" x14ac:dyDescent="0.25">
      <c r="A1820" s="20">
        <v>94597</v>
      </c>
      <c r="B1820" s="21">
        <v>12</v>
      </c>
    </row>
    <row r="1821" spans="1:2" x14ac:dyDescent="0.25">
      <c r="A1821" s="20">
        <v>94598</v>
      </c>
      <c r="B1821" s="21">
        <v>12</v>
      </c>
    </row>
    <row r="1822" spans="1:2" x14ac:dyDescent="0.25">
      <c r="A1822" s="20">
        <v>94599</v>
      </c>
      <c r="B1822" s="21">
        <v>2</v>
      </c>
    </row>
    <row r="1823" spans="1:2" x14ac:dyDescent="0.25">
      <c r="A1823" s="20">
        <v>94601</v>
      </c>
      <c r="B1823" s="21">
        <v>3</v>
      </c>
    </row>
    <row r="1824" spans="1:2" x14ac:dyDescent="0.25">
      <c r="A1824" s="20">
        <v>94602</v>
      </c>
      <c r="B1824" s="21">
        <v>3</v>
      </c>
    </row>
    <row r="1825" spans="1:2" x14ac:dyDescent="0.25">
      <c r="A1825" s="20">
        <v>94603</v>
      </c>
      <c r="B1825" s="21">
        <v>3</v>
      </c>
    </row>
    <row r="1826" spans="1:2" x14ac:dyDescent="0.25">
      <c r="A1826" s="20">
        <v>94604</v>
      </c>
      <c r="B1826" s="21">
        <v>3</v>
      </c>
    </row>
    <row r="1827" spans="1:2" x14ac:dyDescent="0.25">
      <c r="A1827" s="20">
        <v>94605</v>
      </c>
      <c r="B1827" s="21">
        <v>3</v>
      </c>
    </row>
    <row r="1828" spans="1:2" x14ac:dyDescent="0.25">
      <c r="A1828" s="20">
        <v>94606</v>
      </c>
      <c r="B1828" s="21">
        <v>3</v>
      </c>
    </row>
    <row r="1829" spans="1:2" x14ac:dyDescent="0.25">
      <c r="A1829" s="20">
        <v>94607</v>
      </c>
      <c r="B1829" s="21">
        <v>3</v>
      </c>
    </row>
    <row r="1830" spans="1:2" x14ac:dyDescent="0.25">
      <c r="A1830" s="20">
        <v>94608</v>
      </c>
      <c r="B1830" s="21">
        <v>3</v>
      </c>
    </row>
    <row r="1831" spans="1:2" x14ac:dyDescent="0.25">
      <c r="A1831" s="20">
        <v>94609</v>
      </c>
      <c r="B1831" s="21">
        <v>3</v>
      </c>
    </row>
    <row r="1832" spans="1:2" x14ac:dyDescent="0.25">
      <c r="A1832" s="20">
        <v>94610</v>
      </c>
      <c r="B1832" s="21">
        <v>3</v>
      </c>
    </row>
    <row r="1833" spans="1:2" x14ac:dyDescent="0.25">
      <c r="A1833" s="20">
        <v>94611</v>
      </c>
      <c r="B1833" s="21">
        <v>3</v>
      </c>
    </row>
    <row r="1834" spans="1:2" x14ac:dyDescent="0.25">
      <c r="A1834" s="20">
        <v>94612</v>
      </c>
      <c r="B1834" s="21">
        <v>3</v>
      </c>
    </row>
    <row r="1835" spans="1:2" x14ac:dyDescent="0.25">
      <c r="A1835" s="20">
        <v>94613</v>
      </c>
      <c r="B1835" s="21">
        <v>3</v>
      </c>
    </row>
    <row r="1836" spans="1:2" x14ac:dyDescent="0.25">
      <c r="A1836" s="20">
        <v>94614</v>
      </c>
      <c r="B1836" s="21">
        <v>3</v>
      </c>
    </row>
    <row r="1837" spans="1:2" x14ac:dyDescent="0.25">
      <c r="A1837" s="20">
        <v>94615</v>
      </c>
      <c r="B1837" s="21">
        <v>3</v>
      </c>
    </row>
    <row r="1838" spans="1:2" x14ac:dyDescent="0.25">
      <c r="A1838" s="20">
        <v>94617</v>
      </c>
      <c r="B1838" s="21">
        <v>3</v>
      </c>
    </row>
    <row r="1839" spans="1:2" x14ac:dyDescent="0.25">
      <c r="A1839" s="20">
        <v>94618</v>
      </c>
      <c r="B1839" s="21">
        <v>3</v>
      </c>
    </row>
    <row r="1840" spans="1:2" x14ac:dyDescent="0.25">
      <c r="A1840" s="20">
        <v>94619</v>
      </c>
      <c r="B1840" s="21">
        <v>3</v>
      </c>
    </row>
    <row r="1841" spans="1:2" x14ac:dyDescent="0.25">
      <c r="A1841" s="20">
        <v>94620</v>
      </c>
      <c r="B1841" s="21">
        <v>3</v>
      </c>
    </row>
    <row r="1842" spans="1:2" x14ac:dyDescent="0.25">
      <c r="A1842" s="20">
        <v>94621</v>
      </c>
      <c r="B1842" s="21">
        <v>3</v>
      </c>
    </row>
    <row r="1843" spans="1:2" x14ac:dyDescent="0.25">
      <c r="A1843" s="20">
        <v>94623</v>
      </c>
      <c r="B1843" s="21">
        <v>3</v>
      </c>
    </row>
    <row r="1844" spans="1:2" x14ac:dyDescent="0.25">
      <c r="A1844" s="20">
        <v>94624</v>
      </c>
      <c r="B1844" s="21">
        <v>3</v>
      </c>
    </row>
    <row r="1845" spans="1:2" x14ac:dyDescent="0.25">
      <c r="A1845" s="20">
        <v>94625</v>
      </c>
      <c r="B1845" s="21">
        <v>3</v>
      </c>
    </row>
    <row r="1846" spans="1:2" x14ac:dyDescent="0.25">
      <c r="A1846" s="20">
        <v>94626</v>
      </c>
      <c r="B1846" s="21">
        <v>3</v>
      </c>
    </row>
    <row r="1847" spans="1:2" x14ac:dyDescent="0.25">
      <c r="A1847" s="20">
        <v>94627</v>
      </c>
      <c r="B1847" s="21">
        <v>3</v>
      </c>
    </row>
    <row r="1848" spans="1:2" x14ac:dyDescent="0.25">
      <c r="A1848" s="20">
        <v>94643</v>
      </c>
      <c r="B1848" s="21">
        <v>3</v>
      </c>
    </row>
    <row r="1849" spans="1:2" x14ac:dyDescent="0.25">
      <c r="A1849" s="20">
        <v>94649</v>
      </c>
      <c r="B1849" s="21">
        <v>3</v>
      </c>
    </row>
    <row r="1850" spans="1:2" x14ac:dyDescent="0.25">
      <c r="A1850" s="20">
        <v>94659</v>
      </c>
      <c r="B1850" s="21">
        <v>3</v>
      </c>
    </row>
    <row r="1851" spans="1:2" x14ac:dyDescent="0.25">
      <c r="A1851" s="20">
        <v>94660</v>
      </c>
      <c r="B1851" s="21">
        <v>3</v>
      </c>
    </row>
    <row r="1852" spans="1:2" x14ac:dyDescent="0.25">
      <c r="A1852" s="20">
        <v>94661</v>
      </c>
      <c r="B1852" s="21">
        <v>3</v>
      </c>
    </row>
    <row r="1853" spans="1:2" x14ac:dyDescent="0.25">
      <c r="A1853" s="20">
        <v>94662</v>
      </c>
      <c r="B1853" s="21">
        <v>3</v>
      </c>
    </row>
    <row r="1854" spans="1:2" x14ac:dyDescent="0.25">
      <c r="A1854" s="20">
        <v>94666</v>
      </c>
      <c r="B1854" s="21">
        <v>3</v>
      </c>
    </row>
    <row r="1855" spans="1:2" x14ac:dyDescent="0.25">
      <c r="A1855" s="20">
        <v>94701</v>
      </c>
      <c r="B1855" s="21">
        <v>3</v>
      </c>
    </row>
    <row r="1856" spans="1:2" x14ac:dyDescent="0.25">
      <c r="A1856" s="20">
        <v>94702</v>
      </c>
      <c r="B1856" s="21">
        <v>3</v>
      </c>
    </row>
    <row r="1857" spans="1:2" x14ac:dyDescent="0.25">
      <c r="A1857" s="20">
        <v>94703</v>
      </c>
      <c r="B1857" s="21">
        <v>3</v>
      </c>
    </row>
    <row r="1858" spans="1:2" x14ac:dyDescent="0.25">
      <c r="A1858" s="20">
        <v>94704</v>
      </c>
      <c r="B1858" s="21">
        <v>3</v>
      </c>
    </row>
    <row r="1859" spans="1:2" x14ac:dyDescent="0.25">
      <c r="A1859" s="20">
        <v>94705</v>
      </c>
      <c r="B1859" s="21">
        <v>3</v>
      </c>
    </row>
    <row r="1860" spans="1:2" x14ac:dyDescent="0.25">
      <c r="A1860" s="20">
        <v>94706</v>
      </c>
      <c r="B1860" s="21">
        <v>3</v>
      </c>
    </row>
    <row r="1861" spans="1:2" x14ac:dyDescent="0.25">
      <c r="A1861" s="20">
        <v>94707</v>
      </c>
      <c r="B1861" s="21">
        <v>3</v>
      </c>
    </row>
    <row r="1862" spans="1:2" x14ac:dyDescent="0.25">
      <c r="A1862" s="20">
        <v>94708</v>
      </c>
      <c r="B1862" s="21">
        <v>3</v>
      </c>
    </row>
    <row r="1863" spans="1:2" x14ac:dyDescent="0.25">
      <c r="A1863" s="20">
        <v>94709</v>
      </c>
      <c r="B1863" s="21">
        <v>3</v>
      </c>
    </row>
    <row r="1864" spans="1:2" x14ac:dyDescent="0.25">
      <c r="A1864" s="20">
        <v>94710</v>
      </c>
      <c r="B1864" s="21">
        <v>3</v>
      </c>
    </row>
    <row r="1865" spans="1:2" x14ac:dyDescent="0.25">
      <c r="A1865" s="20">
        <v>94712</v>
      </c>
      <c r="B1865" s="21">
        <v>3</v>
      </c>
    </row>
    <row r="1866" spans="1:2" x14ac:dyDescent="0.25">
      <c r="A1866" s="20">
        <v>94720</v>
      </c>
      <c r="B1866" s="21">
        <v>3</v>
      </c>
    </row>
    <row r="1867" spans="1:2" x14ac:dyDescent="0.25">
      <c r="A1867" s="20">
        <v>94801</v>
      </c>
      <c r="B1867" s="21">
        <v>3</v>
      </c>
    </row>
    <row r="1868" spans="1:2" x14ac:dyDescent="0.25">
      <c r="A1868" s="20">
        <v>94802</v>
      </c>
      <c r="B1868" s="21">
        <v>3</v>
      </c>
    </row>
    <row r="1869" spans="1:2" x14ac:dyDescent="0.25">
      <c r="A1869" s="20">
        <v>94803</v>
      </c>
      <c r="B1869" s="21">
        <v>3</v>
      </c>
    </row>
    <row r="1870" spans="1:2" x14ac:dyDescent="0.25">
      <c r="A1870" s="20">
        <v>94804</v>
      </c>
      <c r="B1870" s="21">
        <v>3</v>
      </c>
    </row>
    <row r="1871" spans="1:2" x14ac:dyDescent="0.25">
      <c r="A1871" s="20">
        <v>94805</v>
      </c>
      <c r="B1871" s="21">
        <v>3</v>
      </c>
    </row>
    <row r="1872" spans="1:2" x14ac:dyDescent="0.25">
      <c r="A1872" s="20">
        <v>94806</v>
      </c>
      <c r="B1872" s="21">
        <v>3</v>
      </c>
    </row>
    <row r="1873" spans="1:2" x14ac:dyDescent="0.25">
      <c r="A1873" s="20">
        <v>94807</v>
      </c>
      <c r="B1873" s="21">
        <v>3</v>
      </c>
    </row>
    <row r="1874" spans="1:2" x14ac:dyDescent="0.25">
      <c r="A1874" s="20">
        <v>94808</v>
      </c>
      <c r="B1874" s="21">
        <v>3</v>
      </c>
    </row>
    <row r="1875" spans="1:2" x14ac:dyDescent="0.25">
      <c r="A1875" s="20">
        <v>94820</v>
      </c>
      <c r="B1875" s="21">
        <v>3</v>
      </c>
    </row>
    <row r="1876" spans="1:2" x14ac:dyDescent="0.25">
      <c r="A1876" s="20">
        <v>94850</v>
      </c>
      <c r="B1876" s="21">
        <v>3</v>
      </c>
    </row>
    <row r="1877" spans="1:2" x14ac:dyDescent="0.25">
      <c r="A1877" s="20">
        <v>94901</v>
      </c>
      <c r="B1877" s="21">
        <v>2</v>
      </c>
    </row>
    <row r="1878" spans="1:2" x14ac:dyDescent="0.25">
      <c r="A1878" s="20">
        <v>94903</v>
      </c>
      <c r="B1878" s="21">
        <v>2</v>
      </c>
    </row>
    <row r="1879" spans="1:2" x14ac:dyDescent="0.25">
      <c r="A1879" s="20">
        <v>94904</v>
      </c>
      <c r="B1879" s="21">
        <v>2</v>
      </c>
    </row>
    <row r="1880" spans="1:2" x14ac:dyDescent="0.25">
      <c r="A1880" s="20">
        <v>94912</v>
      </c>
      <c r="B1880" s="21">
        <v>2</v>
      </c>
    </row>
    <row r="1881" spans="1:2" x14ac:dyDescent="0.25">
      <c r="A1881" s="20">
        <v>94913</v>
      </c>
      <c r="B1881" s="21">
        <v>2</v>
      </c>
    </row>
    <row r="1882" spans="1:2" x14ac:dyDescent="0.25">
      <c r="A1882" s="20">
        <v>94914</v>
      </c>
      <c r="B1882" s="21">
        <v>2</v>
      </c>
    </row>
    <row r="1883" spans="1:2" x14ac:dyDescent="0.25">
      <c r="A1883" s="20">
        <v>94915</v>
      </c>
      <c r="B1883" s="21">
        <v>2</v>
      </c>
    </row>
    <row r="1884" spans="1:2" x14ac:dyDescent="0.25">
      <c r="A1884" s="20">
        <v>94920</v>
      </c>
      <c r="B1884" s="21">
        <v>3</v>
      </c>
    </row>
    <row r="1885" spans="1:2" x14ac:dyDescent="0.25">
      <c r="A1885" s="20">
        <v>94922</v>
      </c>
      <c r="B1885" s="21">
        <v>1</v>
      </c>
    </row>
    <row r="1886" spans="1:2" x14ac:dyDescent="0.25">
      <c r="A1886" s="20">
        <v>94923</v>
      </c>
      <c r="B1886" s="21">
        <v>1</v>
      </c>
    </row>
    <row r="1887" spans="1:2" x14ac:dyDescent="0.25">
      <c r="A1887" s="20">
        <v>94924</v>
      </c>
      <c r="B1887" s="21">
        <v>3</v>
      </c>
    </row>
    <row r="1888" spans="1:2" x14ac:dyDescent="0.25">
      <c r="A1888" s="20">
        <v>94925</v>
      </c>
      <c r="B1888" s="21">
        <v>3</v>
      </c>
    </row>
    <row r="1889" spans="1:2" x14ac:dyDescent="0.25">
      <c r="A1889" s="20">
        <v>94926</v>
      </c>
      <c r="B1889" s="21">
        <v>2</v>
      </c>
    </row>
    <row r="1890" spans="1:2" x14ac:dyDescent="0.25">
      <c r="A1890" s="20">
        <v>94927</v>
      </c>
      <c r="B1890" s="21">
        <v>2</v>
      </c>
    </row>
    <row r="1891" spans="1:2" x14ac:dyDescent="0.25">
      <c r="A1891" s="20">
        <v>94928</v>
      </c>
      <c r="B1891" s="21">
        <v>2</v>
      </c>
    </row>
    <row r="1892" spans="1:2" x14ac:dyDescent="0.25">
      <c r="A1892" s="20">
        <v>94929</v>
      </c>
      <c r="B1892" s="21">
        <v>3</v>
      </c>
    </row>
    <row r="1893" spans="1:2" x14ac:dyDescent="0.25">
      <c r="A1893" s="20">
        <v>94930</v>
      </c>
      <c r="B1893" s="21">
        <v>2</v>
      </c>
    </row>
    <row r="1894" spans="1:2" x14ac:dyDescent="0.25">
      <c r="A1894" s="20">
        <v>94931</v>
      </c>
      <c r="B1894" s="21">
        <v>2</v>
      </c>
    </row>
    <row r="1895" spans="1:2" x14ac:dyDescent="0.25">
      <c r="A1895" s="20">
        <v>94933</v>
      </c>
      <c r="B1895" s="21">
        <v>3</v>
      </c>
    </row>
    <row r="1896" spans="1:2" x14ac:dyDescent="0.25">
      <c r="A1896" s="20">
        <v>94937</v>
      </c>
      <c r="B1896" s="21">
        <v>3</v>
      </c>
    </row>
    <row r="1897" spans="1:2" x14ac:dyDescent="0.25">
      <c r="A1897" s="20">
        <v>94938</v>
      </c>
      <c r="B1897" s="21">
        <v>3</v>
      </c>
    </row>
    <row r="1898" spans="1:2" x14ac:dyDescent="0.25">
      <c r="A1898" s="20">
        <v>94939</v>
      </c>
      <c r="B1898" s="21">
        <v>2</v>
      </c>
    </row>
    <row r="1899" spans="1:2" x14ac:dyDescent="0.25">
      <c r="A1899" s="20">
        <v>94940</v>
      </c>
      <c r="B1899" s="21">
        <v>3</v>
      </c>
    </row>
    <row r="1900" spans="1:2" x14ac:dyDescent="0.25">
      <c r="A1900" s="20">
        <v>94941</v>
      </c>
      <c r="B1900" s="21">
        <v>3</v>
      </c>
    </row>
    <row r="1901" spans="1:2" x14ac:dyDescent="0.25">
      <c r="A1901" s="20">
        <v>94942</v>
      </c>
      <c r="B1901" s="21">
        <v>3</v>
      </c>
    </row>
    <row r="1902" spans="1:2" x14ac:dyDescent="0.25">
      <c r="A1902" s="20">
        <v>94945</v>
      </c>
      <c r="B1902" s="21">
        <v>2</v>
      </c>
    </row>
    <row r="1903" spans="1:2" x14ac:dyDescent="0.25">
      <c r="A1903" s="20">
        <v>94946</v>
      </c>
      <c r="B1903" s="21">
        <v>2</v>
      </c>
    </row>
    <row r="1904" spans="1:2" x14ac:dyDescent="0.25">
      <c r="A1904" s="20">
        <v>94947</v>
      </c>
      <c r="B1904" s="21">
        <v>2</v>
      </c>
    </row>
    <row r="1905" spans="1:2" x14ac:dyDescent="0.25">
      <c r="A1905" s="20">
        <v>94948</v>
      </c>
      <c r="B1905" s="21">
        <v>2</v>
      </c>
    </row>
    <row r="1906" spans="1:2" x14ac:dyDescent="0.25">
      <c r="A1906" s="20">
        <v>94949</v>
      </c>
      <c r="B1906" s="21">
        <v>2</v>
      </c>
    </row>
    <row r="1907" spans="1:2" x14ac:dyDescent="0.25">
      <c r="A1907" s="20">
        <v>94950</v>
      </c>
      <c r="B1907" s="21">
        <v>3</v>
      </c>
    </row>
    <row r="1908" spans="1:2" x14ac:dyDescent="0.25">
      <c r="A1908" s="20">
        <v>94951</v>
      </c>
      <c r="B1908" s="21">
        <v>2</v>
      </c>
    </row>
    <row r="1909" spans="1:2" x14ac:dyDescent="0.25">
      <c r="A1909" s="20">
        <v>94952</v>
      </c>
      <c r="B1909" s="21">
        <v>2</v>
      </c>
    </row>
    <row r="1910" spans="1:2" x14ac:dyDescent="0.25">
      <c r="A1910" s="20">
        <v>94953</v>
      </c>
      <c r="B1910" s="21">
        <v>2</v>
      </c>
    </row>
    <row r="1911" spans="1:2" x14ac:dyDescent="0.25">
      <c r="A1911" s="20">
        <v>94954</v>
      </c>
      <c r="B1911" s="21">
        <v>2</v>
      </c>
    </row>
    <row r="1912" spans="1:2" x14ac:dyDescent="0.25">
      <c r="A1912" s="20">
        <v>94955</v>
      </c>
      <c r="B1912" s="21">
        <v>2</v>
      </c>
    </row>
    <row r="1913" spans="1:2" x14ac:dyDescent="0.25">
      <c r="A1913" s="20">
        <v>94956</v>
      </c>
      <c r="B1913" s="21">
        <v>3</v>
      </c>
    </row>
    <row r="1914" spans="1:2" x14ac:dyDescent="0.25">
      <c r="A1914" s="20">
        <v>94957</v>
      </c>
      <c r="B1914" s="21">
        <v>2</v>
      </c>
    </row>
    <row r="1915" spans="1:2" x14ac:dyDescent="0.25">
      <c r="A1915" s="20">
        <v>94960</v>
      </c>
      <c r="B1915" s="21">
        <v>2</v>
      </c>
    </row>
    <row r="1916" spans="1:2" x14ac:dyDescent="0.25">
      <c r="A1916" s="20">
        <v>94963</v>
      </c>
      <c r="B1916" s="21">
        <v>2</v>
      </c>
    </row>
    <row r="1917" spans="1:2" x14ac:dyDescent="0.25">
      <c r="A1917" s="20">
        <v>94964</v>
      </c>
      <c r="B1917" s="21">
        <v>2</v>
      </c>
    </row>
    <row r="1918" spans="1:2" x14ac:dyDescent="0.25">
      <c r="A1918" s="20">
        <v>94965</v>
      </c>
      <c r="B1918" s="21">
        <v>3</v>
      </c>
    </row>
    <row r="1919" spans="1:2" x14ac:dyDescent="0.25">
      <c r="A1919" s="20">
        <v>94966</v>
      </c>
      <c r="B1919" s="21">
        <v>3</v>
      </c>
    </row>
    <row r="1920" spans="1:2" x14ac:dyDescent="0.25">
      <c r="A1920" s="20">
        <v>94970</v>
      </c>
      <c r="B1920" s="21">
        <v>3</v>
      </c>
    </row>
    <row r="1921" spans="1:2" x14ac:dyDescent="0.25">
      <c r="A1921" s="20">
        <v>94971</v>
      </c>
      <c r="B1921" s="21">
        <v>3</v>
      </c>
    </row>
    <row r="1922" spans="1:2" x14ac:dyDescent="0.25">
      <c r="A1922" s="20">
        <v>94972</v>
      </c>
      <c r="B1922" s="21">
        <v>2</v>
      </c>
    </row>
    <row r="1923" spans="1:2" x14ac:dyDescent="0.25">
      <c r="A1923" s="20">
        <v>94973</v>
      </c>
      <c r="B1923" s="21">
        <v>2</v>
      </c>
    </row>
    <row r="1924" spans="1:2" x14ac:dyDescent="0.25">
      <c r="A1924" s="20">
        <v>94974</v>
      </c>
      <c r="B1924" s="21">
        <v>2</v>
      </c>
    </row>
    <row r="1925" spans="1:2" x14ac:dyDescent="0.25">
      <c r="A1925" s="20">
        <v>94975</v>
      </c>
      <c r="B1925" s="21">
        <v>2</v>
      </c>
    </row>
    <row r="1926" spans="1:2" x14ac:dyDescent="0.25">
      <c r="A1926" s="20">
        <v>94976</v>
      </c>
      <c r="B1926" s="21">
        <v>3</v>
      </c>
    </row>
    <row r="1927" spans="1:2" x14ac:dyDescent="0.25">
      <c r="A1927" s="20">
        <v>94977</v>
      </c>
      <c r="B1927" s="21">
        <v>3</v>
      </c>
    </row>
    <row r="1928" spans="1:2" x14ac:dyDescent="0.25">
      <c r="A1928" s="20">
        <v>94978</v>
      </c>
      <c r="B1928" s="21">
        <v>2</v>
      </c>
    </row>
    <row r="1929" spans="1:2" x14ac:dyDescent="0.25">
      <c r="A1929" s="20">
        <v>94979</v>
      </c>
      <c r="B1929" s="21">
        <v>2</v>
      </c>
    </row>
    <row r="1930" spans="1:2" x14ac:dyDescent="0.25">
      <c r="A1930" s="20">
        <v>94998</v>
      </c>
      <c r="B1930" s="21">
        <v>2</v>
      </c>
    </row>
    <row r="1931" spans="1:2" x14ac:dyDescent="0.25">
      <c r="A1931" s="20">
        <v>94999</v>
      </c>
      <c r="B1931" s="21">
        <v>2</v>
      </c>
    </row>
    <row r="1932" spans="1:2" x14ac:dyDescent="0.25">
      <c r="A1932" s="20">
        <v>95001</v>
      </c>
      <c r="B1932" s="21">
        <v>3</v>
      </c>
    </row>
    <row r="1933" spans="1:2" x14ac:dyDescent="0.25">
      <c r="A1933" s="20">
        <v>95002</v>
      </c>
      <c r="B1933" s="21">
        <v>4</v>
      </c>
    </row>
    <row r="1934" spans="1:2" x14ac:dyDescent="0.25">
      <c r="A1934" s="20">
        <v>95003</v>
      </c>
      <c r="B1934" s="21">
        <v>3</v>
      </c>
    </row>
    <row r="1935" spans="1:2" x14ac:dyDescent="0.25">
      <c r="A1935" s="20">
        <v>95004</v>
      </c>
      <c r="B1935" s="21">
        <v>4</v>
      </c>
    </row>
    <row r="1936" spans="1:2" x14ac:dyDescent="0.25">
      <c r="A1936" s="20">
        <v>95005</v>
      </c>
      <c r="B1936" s="21">
        <v>3</v>
      </c>
    </row>
    <row r="1937" spans="1:2" x14ac:dyDescent="0.25">
      <c r="A1937" s="20">
        <v>95006</v>
      </c>
      <c r="B1937" s="21">
        <v>3</v>
      </c>
    </row>
    <row r="1938" spans="1:2" x14ac:dyDescent="0.25">
      <c r="A1938" s="20">
        <v>95007</v>
      </c>
      <c r="B1938" s="21">
        <v>3</v>
      </c>
    </row>
    <row r="1939" spans="1:2" x14ac:dyDescent="0.25">
      <c r="A1939" s="20">
        <v>95008</v>
      </c>
      <c r="B1939" s="21">
        <v>4</v>
      </c>
    </row>
    <row r="1940" spans="1:2" x14ac:dyDescent="0.25">
      <c r="A1940" s="20">
        <v>95009</v>
      </c>
      <c r="B1940" s="21">
        <v>4</v>
      </c>
    </row>
    <row r="1941" spans="1:2" x14ac:dyDescent="0.25">
      <c r="A1941" s="20">
        <v>95010</v>
      </c>
      <c r="B1941" s="21">
        <v>3</v>
      </c>
    </row>
    <row r="1942" spans="1:2" x14ac:dyDescent="0.25">
      <c r="A1942" s="20">
        <v>95011</v>
      </c>
      <c r="B1942" s="21">
        <v>4</v>
      </c>
    </row>
    <row r="1943" spans="1:2" x14ac:dyDescent="0.25">
      <c r="A1943" s="20">
        <v>95012</v>
      </c>
      <c r="B1943" s="21">
        <v>3</v>
      </c>
    </row>
    <row r="1944" spans="1:2" x14ac:dyDescent="0.25">
      <c r="A1944" s="20">
        <v>95013</v>
      </c>
      <c r="B1944" s="21">
        <v>4</v>
      </c>
    </row>
    <row r="1945" spans="1:2" x14ac:dyDescent="0.25">
      <c r="A1945" s="20">
        <v>95014</v>
      </c>
      <c r="B1945" s="21">
        <v>4</v>
      </c>
    </row>
    <row r="1946" spans="1:2" x14ac:dyDescent="0.25">
      <c r="A1946" s="20">
        <v>95015</v>
      </c>
      <c r="B1946" s="21">
        <v>4</v>
      </c>
    </row>
    <row r="1947" spans="1:2" x14ac:dyDescent="0.25">
      <c r="A1947" s="20">
        <v>95017</v>
      </c>
      <c r="B1947" s="21">
        <v>3</v>
      </c>
    </row>
    <row r="1948" spans="1:2" x14ac:dyDescent="0.25">
      <c r="A1948" s="20">
        <v>95018</v>
      </c>
      <c r="B1948" s="21">
        <v>3</v>
      </c>
    </row>
    <row r="1949" spans="1:2" x14ac:dyDescent="0.25">
      <c r="A1949" s="20">
        <v>95019</v>
      </c>
      <c r="B1949" s="21">
        <v>3</v>
      </c>
    </row>
    <row r="1950" spans="1:2" x14ac:dyDescent="0.25">
      <c r="A1950" s="20">
        <v>95020</v>
      </c>
      <c r="B1950" s="21">
        <v>4</v>
      </c>
    </row>
    <row r="1951" spans="1:2" x14ac:dyDescent="0.25">
      <c r="A1951" s="20">
        <v>95021</v>
      </c>
      <c r="B1951" s="21">
        <v>4</v>
      </c>
    </row>
    <row r="1952" spans="1:2" x14ac:dyDescent="0.25">
      <c r="A1952" s="20">
        <v>95023</v>
      </c>
      <c r="B1952" s="21">
        <v>4</v>
      </c>
    </row>
    <row r="1953" spans="1:2" x14ac:dyDescent="0.25">
      <c r="A1953" s="20">
        <v>95024</v>
      </c>
      <c r="B1953" s="21">
        <v>4</v>
      </c>
    </row>
    <row r="1954" spans="1:2" x14ac:dyDescent="0.25">
      <c r="A1954" s="20">
        <v>95026</v>
      </c>
      <c r="B1954" s="21">
        <v>3</v>
      </c>
    </row>
    <row r="1955" spans="1:2" x14ac:dyDescent="0.25">
      <c r="A1955" s="20">
        <v>95030</v>
      </c>
      <c r="B1955" s="21">
        <v>4</v>
      </c>
    </row>
    <row r="1956" spans="1:2" x14ac:dyDescent="0.25">
      <c r="A1956" s="20">
        <v>95031</v>
      </c>
      <c r="B1956" s="21">
        <v>4</v>
      </c>
    </row>
    <row r="1957" spans="1:2" x14ac:dyDescent="0.25">
      <c r="A1957" s="20">
        <v>95032</v>
      </c>
      <c r="B1957" s="21">
        <v>4</v>
      </c>
    </row>
    <row r="1958" spans="1:2" x14ac:dyDescent="0.25">
      <c r="A1958" s="20">
        <v>95033</v>
      </c>
      <c r="B1958" s="21">
        <v>4</v>
      </c>
    </row>
    <row r="1959" spans="1:2" x14ac:dyDescent="0.25">
      <c r="A1959" s="20">
        <v>95035</v>
      </c>
      <c r="B1959" s="21">
        <v>4</v>
      </c>
    </row>
    <row r="1960" spans="1:2" x14ac:dyDescent="0.25">
      <c r="A1960" s="20">
        <v>95036</v>
      </c>
      <c r="B1960" s="21">
        <v>4</v>
      </c>
    </row>
    <row r="1961" spans="1:2" x14ac:dyDescent="0.25">
      <c r="A1961" s="20">
        <v>95037</v>
      </c>
      <c r="B1961" s="21">
        <v>4</v>
      </c>
    </row>
    <row r="1962" spans="1:2" x14ac:dyDescent="0.25">
      <c r="A1962" s="20">
        <v>95038</v>
      </c>
      <c r="B1962" s="21">
        <v>4</v>
      </c>
    </row>
    <row r="1963" spans="1:2" x14ac:dyDescent="0.25">
      <c r="A1963" s="20">
        <v>95039</v>
      </c>
      <c r="B1963" s="21">
        <v>3</v>
      </c>
    </row>
    <row r="1964" spans="1:2" x14ac:dyDescent="0.25">
      <c r="A1964" s="20">
        <v>95041</v>
      </c>
      <c r="B1964" s="21">
        <v>3</v>
      </c>
    </row>
    <row r="1965" spans="1:2" x14ac:dyDescent="0.25">
      <c r="A1965" s="20">
        <v>95042</v>
      </c>
      <c r="B1965" s="21">
        <v>4</v>
      </c>
    </row>
    <row r="1966" spans="1:2" x14ac:dyDescent="0.25">
      <c r="A1966" s="20">
        <v>95043</v>
      </c>
      <c r="B1966" s="21">
        <v>4</v>
      </c>
    </row>
    <row r="1967" spans="1:2" x14ac:dyDescent="0.25">
      <c r="A1967" s="20">
        <v>95044</v>
      </c>
      <c r="B1967" s="21">
        <v>3</v>
      </c>
    </row>
    <row r="1968" spans="1:2" x14ac:dyDescent="0.25">
      <c r="A1968" s="20">
        <v>95045</v>
      </c>
      <c r="B1968" s="21">
        <v>4</v>
      </c>
    </row>
    <row r="1969" spans="1:2" x14ac:dyDescent="0.25">
      <c r="A1969" s="20">
        <v>95046</v>
      </c>
      <c r="B1969" s="21">
        <v>4</v>
      </c>
    </row>
    <row r="1970" spans="1:2" x14ac:dyDescent="0.25">
      <c r="A1970" s="20">
        <v>95050</v>
      </c>
      <c r="B1970" s="21">
        <v>4</v>
      </c>
    </row>
    <row r="1971" spans="1:2" x14ac:dyDescent="0.25">
      <c r="A1971" s="20">
        <v>95051</v>
      </c>
      <c r="B1971" s="21">
        <v>4</v>
      </c>
    </row>
    <row r="1972" spans="1:2" x14ac:dyDescent="0.25">
      <c r="A1972" s="20">
        <v>95052</v>
      </c>
      <c r="B1972" s="21">
        <v>4</v>
      </c>
    </row>
    <row r="1973" spans="1:2" x14ac:dyDescent="0.25">
      <c r="A1973" s="20">
        <v>95053</v>
      </c>
      <c r="B1973" s="21">
        <v>4</v>
      </c>
    </row>
    <row r="1974" spans="1:2" x14ac:dyDescent="0.25">
      <c r="A1974" s="20">
        <v>95054</v>
      </c>
      <c r="B1974" s="21">
        <v>4</v>
      </c>
    </row>
    <row r="1975" spans="1:2" x14ac:dyDescent="0.25">
      <c r="A1975" s="20">
        <v>95055</v>
      </c>
      <c r="B1975" s="21">
        <v>4</v>
      </c>
    </row>
    <row r="1976" spans="1:2" x14ac:dyDescent="0.25">
      <c r="A1976" s="20">
        <v>95056</v>
      </c>
      <c r="B1976" s="21">
        <v>4</v>
      </c>
    </row>
    <row r="1977" spans="1:2" x14ac:dyDescent="0.25">
      <c r="A1977" s="20">
        <v>95060</v>
      </c>
      <c r="B1977" s="21">
        <v>3</v>
      </c>
    </row>
    <row r="1978" spans="1:2" x14ac:dyDescent="0.25">
      <c r="A1978" s="20">
        <v>95061</v>
      </c>
      <c r="B1978" s="21">
        <v>3</v>
      </c>
    </row>
    <row r="1979" spans="1:2" x14ac:dyDescent="0.25">
      <c r="A1979" s="20">
        <v>95062</v>
      </c>
      <c r="B1979" s="21">
        <v>3</v>
      </c>
    </row>
    <row r="1980" spans="1:2" x14ac:dyDescent="0.25">
      <c r="A1980" s="20">
        <v>95063</v>
      </c>
      <c r="B1980" s="21">
        <v>3</v>
      </c>
    </row>
    <row r="1981" spans="1:2" x14ac:dyDescent="0.25">
      <c r="A1981" s="20">
        <v>95064</v>
      </c>
      <c r="B1981" s="21">
        <v>3</v>
      </c>
    </row>
    <row r="1982" spans="1:2" x14ac:dyDescent="0.25">
      <c r="A1982" s="20">
        <v>95065</v>
      </c>
      <c r="B1982" s="21">
        <v>3</v>
      </c>
    </row>
    <row r="1983" spans="1:2" x14ac:dyDescent="0.25">
      <c r="A1983" s="20">
        <v>95066</v>
      </c>
      <c r="B1983" s="21">
        <v>3</v>
      </c>
    </row>
    <row r="1984" spans="1:2" x14ac:dyDescent="0.25">
      <c r="A1984" s="20">
        <v>95067</v>
      </c>
      <c r="B1984" s="21">
        <v>3</v>
      </c>
    </row>
    <row r="1985" spans="1:2" x14ac:dyDescent="0.25">
      <c r="A1985" s="20">
        <v>95070</v>
      </c>
      <c r="B1985" s="21">
        <v>4</v>
      </c>
    </row>
    <row r="1986" spans="1:2" x14ac:dyDescent="0.25">
      <c r="A1986" s="20">
        <v>95071</v>
      </c>
      <c r="B1986" s="21">
        <v>4</v>
      </c>
    </row>
    <row r="1987" spans="1:2" x14ac:dyDescent="0.25">
      <c r="A1987" s="20">
        <v>95073</v>
      </c>
      <c r="B1987" s="21">
        <v>3</v>
      </c>
    </row>
    <row r="1988" spans="1:2" x14ac:dyDescent="0.25">
      <c r="A1988" s="20">
        <v>95075</v>
      </c>
      <c r="B1988" s="21">
        <v>4</v>
      </c>
    </row>
    <row r="1989" spans="1:2" x14ac:dyDescent="0.25">
      <c r="A1989" s="20">
        <v>95076</v>
      </c>
      <c r="B1989" s="21">
        <v>3</v>
      </c>
    </row>
    <row r="1990" spans="1:2" x14ac:dyDescent="0.25">
      <c r="A1990" s="20">
        <v>95077</v>
      </c>
      <c r="B1990" s="21">
        <v>3</v>
      </c>
    </row>
    <row r="1991" spans="1:2" x14ac:dyDescent="0.25">
      <c r="A1991" s="20">
        <v>95101</v>
      </c>
      <c r="B1991" s="21">
        <v>4</v>
      </c>
    </row>
    <row r="1992" spans="1:2" x14ac:dyDescent="0.25">
      <c r="A1992" s="20">
        <v>95102</v>
      </c>
      <c r="B1992" s="21">
        <v>4</v>
      </c>
    </row>
    <row r="1993" spans="1:2" x14ac:dyDescent="0.25">
      <c r="A1993" s="20">
        <v>95103</v>
      </c>
      <c r="B1993" s="21">
        <v>4</v>
      </c>
    </row>
    <row r="1994" spans="1:2" x14ac:dyDescent="0.25">
      <c r="A1994" s="20">
        <v>95106</v>
      </c>
      <c r="B1994" s="21">
        <v>4</v>
      </c>
    </row>
    <row r="1995" spans="1:2" x14ac:dyDescent="0.25">
      <c r="A1995" s="20">
        <v>95108</v>
      </c>
      <c r="B1995" s="21">
        <v>4</v>
      </c>
    </row>
    <row r="1996" spans="1:2" x14ac:dyDescent="0.25">
      <c r="A1996" s="20">
        <v>95109</v>
      </c>
      <c r="B1996" s="21">
        <v>4</v>
      </c>
    </row>
    <row r="1997" spans="1:2" x14ac:dyDescent="0.25">
      <c r="A1997" s="20">
        <v>95110</v>
      </c>
      <c r="B1997" s="21">
        <v>4</v>
      </c>
    </row>
    <row r="1998" spans="1:2" x14ac:dyDescent="0.25">
      <c r="A1998" s="20">
        <v>95111</v>
      </c>
      <c r="B1998" s="21">
        <v>4</v>
      </c>
    </row>
    <row r="1999" spans="1:2" x14ac:dyDescent="0.25">
      <c r="A1999" s="20">
        <v>95112</v>
      </c>
      <c r="B1999" s="21">
        <v>4</v>
      </c>
    </row>
    <row r="2000" spans="1:2" x14ac:dyDescent="0.25">
      <c r="A2000" s="20">
        <v>95113</v>
      </c>
      <c r="B2000" s="21">
        <v>4</v>
      </c>
    </row>
    <row r="2001" spans="1:2" x14ac:dyDescent="0.25">
      <c r="A2001" s="20">
        <v>95114</v>
      </c>
      <c r="B2001" s="21">
        <v>4</v>
      </c>
    </row>
    <row r="2002" spans="1:2" x14ac:dyDescent="0.25">
      <c r="A2002" s="20">
        <v>95115</v>
      </c>
      <c r="B2002" s="21">
        <v>4</v>
      </c>
    </row>
    <row r="2003" spans="1:2" x14ac:dyDescent="0.25">
      <c r="A2003" s="20">
        <v>95116</v>
      </c>
      <c r="B2003" s="21">
        <v>4</v>
      </c>
    </row>
    <row r="2004" spans="1:2" x14ac:dyDescent="0.25">
      <c r="A2004" s="20">
        <v>95117</v>
      </c>
      <c r="B2004" s="21">
        <v>4</v>
      </c>
    </row>
    <row r="2005" spans="1:2" x14ac:dyDescent="0.25">
      <c r="A2005" s="20">
        <v>95118</v>
      </c>
      <c r="B2005" s="21">
        <v>4</v>
      </c>
    </row>
    <row r="2006" spans="1:2" x14ac:dyDescent="0.25">
      <c r="A2006" s="20">
        <v>95119</v>
      </c>
      <c r="B2006" s="21">
        <v>4</v>
      </c>
    </row>
    <row r="2007" spans="1:2" x14ac:dyDescent="0.25">
      <c r="A2007" s="20">
        <v>95120</v>
      </c>
      <c r="B2007" s="21">
        <v>4</v>
      </c>
    </row>
    <row r="2008" spans="1:2" x14ac:dyDescent="0.25">
      <c r="A2008" s="20">
        <v>95121</v>
      </c>
      <c r="B2008" s="21">
        <v>4</v>
      </c>
    </row>
    <row r="2009" spans="1:2" x14ac:dyDescent="0.25">
      <c r="A2009" s="20">
        <v>95122</v>
      </c>
      <c r="B2009" s="21">
        <v>4</v>
      </c>
    </row>
    <row r="2010" spans="1:2" x14ac:dyDescent="0.25">
      <c r="A2010" s="20">
        <v>95123</v>
      </c>
      <c r="B2010" s="21">
        <v>4</v>
      </c>
    </row>
    <row r="2011" spans="1:2" x14ac:dyDescent="0.25">
      <c r="A2011" s="20">
        <v>95124</v>
      </c>
      <c r="B2011" s="21">
        <v>4</v>
      </c>
    </row>
    <row r="2012" spans="1:2" x14ac:dyDescent="0.25">
      <c r="A2012" s="20">
        <v>95125</v>
      </c>
      <c r="B2012" s="21">
        <v>4</v>
      </c>
    </row>
    <row r="2013" spans="1:2" x14ac:dyDescent="0.25">
      <c r="A2013" s="20">
        <v>95126</v>
      </c>
      <c r="B2013" s="21">
        <v>4</v>
      </c>
    </row>
    <row r="2014" spans="1:2" x14ac:dyDescent="0.25">
      <c r="A2014" s="20">
        <v>95127</v>
      </c>
      <c r="B2014" s="21">
        <v>4</v>
      </c>
    </row>
    <row r="2015" spans="1:2" x14ac:dyDescent="0.25">
      <c r="A2015" s="20">
        <v>95128</v>
      </c>
      <c r="B2015" s="21">
        <v>4</v>
      </c>
    </row>
    <row r="2016" spans="1:2" x14ac:dyDescent="0.25">
      <c r="A2016" s="20">
        <v>95129</v>
      </c>
      <c r="B2016" s="21">
        <v>4</v>
      </c>
    </row>
    <row r="2017" spans="1:2" x14ac:dyDescent="0.25">
      <c r="A2017" s="20">
        <v>95130</v>
      </c>
      <c r="B2017" s="21">
        <v>4</v>
      </c>
    </row>
    <row r="2018" spans="1:2" x14ac:dyDescent="0.25">
      <c r="A2018" s="20">
        <v>95131</v>
      </c>
      <c r="B2018" s="21">
        <v>4</v>
      </c>
    </row>
    <row r="2019" spans="1:2" x14ac:dyDescent="0.25">
      <c r="A2019" s="20">
        <v>95132</v>
      </c>
      <c r="B2019" s="21">
        <v>4</v>
      </c>
    </row>
    <row r="2020" spans="1:2" x14ac:dyDescent="0.25">
      <c r="A2020" s="20">
        <v>95133</v>
      </c>
      <c r="B2020" s="21">
        <v>4</v>
      </c>
    </row>
    <row r="2021" spans="1:2" x14ac:dyDescent="0.25">
      <c r="A2021" s="20">
        <v>95134</v>
      </c>
      <c r="B2021" s="21">
        <v>4</v>
      </c>
    </row>
    <row r="2022" spans="1:2" x14ac:dyDescent="0.25">
      <c r="A2022" s="20">
        <v>95135</v>
      </c>
      <c r="B2022" s="21">
        <v>4</v>
      </c>
    </row>
    <row r="2023" spans="1:2" x14ac:dyDescent="0.25">
      <c r="A2023" s="20">
        <v>95136</v>
      </c>
      <c r="B2023" s="21">
        <v>4</v>
      </c>
    </row>
    <row r="2024" spans="1:2" x14ac:dyDescent="0.25">
      <c r="A2024" s="20">
        <v>95137</v>
      </c>
      <c r="B2024" s="21">
        <v>4</v>
      </c>
    </row>
    <row r="2025" spans="1:2" x14ac:dyDescent="0.25">
      <c r="A2025" s="20">
        <v>95138</v>
      </c>
      <c r="B2025" s="21">
        <v>4</v>
      </c>
    </row>
    <row r="2026" spans="1:2" x14ac:dyDescent="0.25">
      <c r="A2026" s="20">
        <v>95139</v>
      </c>
      <c r="B2026" s="21">
        <v>4</v>
      </c>
    </row>
    <row r="2027" spans="1:2" x14ac:dyDescent="0.25">
      <c r="A2027" s="20">
        <v>95140</v>
      </c>
      <c r="B2027" s="21">
        <v>4</v>
      </c>
    </row>
    <row r="2028" spans="1:2" x14ac:dyDescent="0.25">
      <c r="A2028" s="20">
        <v>95141</v>
      </c>
      <c r="B2028" s="21">
        <v>4</v>
      </c>
    </row>
    <row r="2029" spans="1:2" x14ac:dyDescent="0.25">
      <c r="A2029" s="20">
        <v>95142</v>
      </c>
      <c r="B2029" s="21">
        <v>4</v>
      </c>
    </row>
    <row r="2030" spans="1:2" x14ac:dyDescent="0.25">
      <c r="A2030" s="20">
        <v>95148</v>
      </c>
      <c r="B2030" s="21">
        <v>4</v>
      </c>
    </row>
    <row r="2031" spans="1:2" x14ac:dyDescent="0.25">
      <c r="A2031" s="20">
        <v>95150</v>
      </c>
      <c r="B2031" s="21">
        <v>4</v>
      </c>
    </row>
    <row r="2032" spans="1:2" x14ac:dyDescent="0.25">
      <c r="A2032" s="20">
        <v>95151</v>
      </c>
      <c r="B2032" s="21">
        <v>4</v>
      </c>
    </row>
    <row r="2033" spans="1:2" x14ac:dyDescent="0.25">
      <c r="A2033" s="20">
        <v>95152</v>
      </c>
      <c r="B2033" s="21">
        <v>4</v>
      </c>
    </row>
    <row r="2034" spans="1:2" x14ac:dyDescent="0.25">
      <c r="A2034" s="20">
        <v>95153</v>
      </c>
      <c r="B2034" s="21">
        <v>4</v>
      </c>
    </row>
    <row r="2035" spans="1:2" x14ac:dyDescent="0.25">
      <c r="A2035" s="20">
        <v>95154</v>
      </c>
      <c r="B2035" s="21">
        <v>4</v>
      </c>
    </row>
    <row r="2036" spans="1:2" x14ac:dyDescent="0.25">
      <c r="A2036" s="20">
        <v>95155</v>
      </c>
      <c r="B2036" s="21">
        <v>4</v>
      </c>
    </row>
    <row r="2037" spans="1:2" x14ac:dyDescent="0.25">
      <c r="A2037" s="20">
        <v>95156</v>
      </c>
      <c r="B2037" s="21">
        <v>4</v>
      </c>
    </row>
    <row r="2038" spans="1:2" x14ac:dyDescent="0.25">
      <c r="A2038" s="20">
        <v>95157</v>
      </c>
      <c r="B2038" s="21">
        <v>4</v>
      </c>
    </row>
    <row r="2039" spans="1:2" x14ac:dyDescent="0.25">
      <c r="A2039" s="20">
        <v>95158</v>
      </c>
      <c r="B2039" s="21">
        <v>4</v>
      </c>
    </row>
    <row r="2040" spans="1:2" x14ac:dyDescent="0.25">
      <c r="A2040" s="20">
        <v>95159</v>
      </c>
      <c r="B2040" s="21">
        <v>4</v>
      </c>
    </row>
    <row r="2041" spans="1:2" x14ac:dyDescent="0.25">
      <c r="A2041" s="20">
        <v>95160</v>
      </c>
      <c r="B2041" s="21">
        <v>4</v>
      </c>
    </row>
    <row r="2042" spans="1:2" x14ac:dyDescent="0.25">
      <c r="A2042" s="20">
        <v>95161</v>
      </c>
      <c r="B2042" s="21">
        <v>4</v>
      </c>
    </row>
    <row r="2043" spans="1:2" x14ac:dyDescent="0.25">
      <c r="A2043" s="20">
        <v>95164</v>
      </c>
      <c r="B2043" s="21">
        <v>4</v>
      </c>
    </row>
    <row r="2044" spans="1:2" x14ac:dyDescent="0.25">
      <c r="A2044" s="20">
        <v>95170</v>
      </c>
      <c r="B2044" s="21">
        <v>4</v>
      </c>
    </row>
    <row r="2045" spans="1:2" x14ac:dyDescent="0.25">
      <c r="A2045" s="20">
        <v>95171</v>
      </c>
      <c r="B2045" s="21">
        <v>4</v>
      </c>
    </row>
    <row r="2046" spans="1:2" x14ac:dyDescent="0.25">
      <c r="A2046" s="20">
        <v>95172</v>
      </c>
      <c r="B2046" s="21">
        <v>4</v>
      </c>
    </row>
    <row r="2047" spans="1:2" x14ac:dyDescent="0.25">
      <c r="A2047" s="20">
        <v>95173</v>
      </c>
      <c r="B2047" s="21">
        <v>4</v>
      </c>
    </row>
    <row r="2048" spans="1:2" x14ac:dyDescent="0.25">
      <c r="A2048" s="20">
        <v>95190</v>
      </c>
      <c r="B2048" s="21">
        <v>4</v>
      </c>
    </row>
    <row r="2049" spans="1:2" x14ac:dyDescent="0.25">
      <c r="A2049" s="20">
        <v>95191</v>
      </c>
      <c r="B2049" s="21">
        <v>4</v>
      </c>
    </row>
    <row r="2050" spans="1:2" x14ac:dyDescent="0.25">
      <c r="A2050" s="20">
        <v>95192</v>
      </c>
      <c r="B2050" s="21">
        <v>4</v>
      </c>
    </row>
    <row r="2051" spans="1:2" x14ac:dyDescent="0.25">
      <c r="A2051" s="20">
        <v>95193</v>
      </c>
      <c r="B2051" s="21">
        <v>4</v>
      </c>
    </row>
    <row r="2052" spans="1:2" x14ac:dyDescent="0.25">
      <c r="A2052" s="20">
        <v>95194</v>
      </c>
      <c r="B2052" s="21">
        <v>4</v>
      </c>
    </row>
    <row r="2053" spans="1:2" x14ac:dyDescent="0.25">
      <c r="A2053" s="20">
        <v>95196</v>
      </c>
      <c r="B2053" s="21">
        <v>4</v>
      </c>
    </row>
    <row r="2054" spans="1:2" x14ac:dyDescent="0.25">
      <c r="A2054" s="20">
        <v>95201</v>
      </c>
      <c r="B2054" s="21">
        <v>12</v>
      </c>
    </row>
    <row r="2055" spans="1:2" x14ac:dyDescent="0.25">
      <c r="A2055" s="20">
        <v>95202</v>
      </c>
      <c r="B2055" s="21">
        <v>12</v>
      </c>
    </row>
    <row r="2056" spans="1:2" x14ac:dyDescent="0.25">
      <c r="A2056" s="20">
        <v>95203</v>
      </c>
      <c r="B2056" s="21">
        <v>12</v>
      </c>
    </row>
    <row r="2057" spans="1:2" x14ac:dyDescent="0.25">
      <c r="A2057" s="20">
        <v>95204</v>
      </c>
      <c r="B2057" s="21">
        <v>12</v>
      </c>
    </row>
    <row r="2058" spans="1:2" x14ac:dyDescent="0.25">
      <c r="A2058" s="20">
        <v>95205</v>
      </c>
      <c r="B2058" s="21">
        <v>12</v>
      </c>
    </row>
    <row r="2059" spans="1:2" x14ac:dyDescent="0.25">
      <c r="A2059" s="20">
        <v>95206</v>
      </c>
      <c r="B2059" s="21">
        <v>12</v>
      </c>
    </row>
    <row r="2060" spans="1:2" x14ac:dyDescent="0.25">
      <c r="A2060" s="20">
        <v>95207</v>
      </c>
      <c r="B2060" s="21">
        <v>12</v>
      </c>
    </row>
    <row r="2061" spans="1:2" x14ac:dyDescent="0.25">
      <c r="A2061" s="20">
        <v>95208</v>
      </c>
      <c r="B2061" s="21">
        <v>12</v>
      </c>
    </row>
    <row r="2062" spans="1:2" x14ac:dyDescent="0.25">
      <c r="A2062" s="20">
        <v>95209</v>
      </c>
      <c r="B2062" s="21">
        <v>12</v>
      </c>
    </row>
    <row r="2063" spans="1:2" x14ac:dyDescent="0.25">
      <c r="A2063" s="20">
        <v>95210</v>
      </c>
      <c r="B2063" s="21">
        <v>12</v>
      </c>
    </row>
    <row r="2064" spans="1:2" x14ac:dyDescent="0.25">
      <c r="A2064" s="20">
        <v>95211</v>
      </c>
      <c r="B2064" s="21">
        <v>12</v>
      </c>
    </row>
    <row r="2065" spans="1:2" x14ac:dyDescent="0.25">
      <c r="A2065" s="20">
        <v>95212</v>
      </c>
      <c r="B2065" s="21">
        <v>12</v>
      </c>
    </row>
    <row r="2066" spans="1:2" x14ac:dyDescent="0.25">
      <c r="A2066" s="20">
        <v>95213</v>
      </c>
      <c r="B2066" s="21">
        <v>12</v>
      </c>
    </row>
    <row r="2067" spans="1:2" x14ac:dyDescent="0.25">
      <c r="A2067" s="20">
        <v>95215</v>
      </c>
      <c r="B2067" s="21">
        <v>12</v>
      </c>
    </row>
    <row r="2068" spans="1:2" x14ac:dyDescent="0.25">
      <c r="A2068" s="20">
        <v>95219</v>
      </c>
      <c r="B2068" s="21">
        <v>12</v>
      </c>
    </row>
    <row r="2069" spans="1:2" x14ac:dyDescent="0.25">
      <c r="A2069" s="20">
        <v>95220</v>
      </c>
      <c r="B2069" s="21">
        <v>12</v>
      </c>
    </row>
    <row r="2070" spans="1:2" x14ac:dyDescent="0.25">
      <c r="A2070" s="20">
        <v>95221</v>
      </c>
      <c r="B2070" s="21">
        <v>12</v>
      </c>
    </row>
    <row r="2071" spans="1:2" x14ac:dyDescent="0.25">
      <c r="A2071" s="20">
        <v>95222</v>
      </c>
      <c r="B2071" s="21">
        <v>12</v>
      </c>
    </row>
    <row r="2072" spans="1:2" x14ac:dyDescent="0.25">
      <c r="A2072" s="20">
        <v>95223</v>
      </c>
      <c r="B2072" s="21">
        <v>16</v>
      </c>
    </row>
    <row r="2073" spans="1:2" x14ac:dyDescent="0.25">
      <c r="A2073" s="20">
        <v>95224</v>
      </c>
      <c r="B2073" s="21">
        <v>16</v>
      </c>
    </row>
    <row r="2074" spans="1:2" x14ac:dyDescent="0.25">
      <c r="A2074" s="20">
        <v>95225</v>
      </c>
      <c r="B2074" s="21">
        <v>12</v>
      </c>
    </row>
    <row r="2075" spans="1:2" x14ac:dyDescent="0.25">
      <c r="A2075" s="20">
        <v>95226</v>
      </c>
      <c r="B2075" s="21">
        <v>12</v>
      </c>
    </row>
    <row r="2076" spans="1:2" x14ac:dyDescent="0.25">
      <c r="A2076" s="20">
        <v>95227</v>
      </c>
      <c r="B2076" s="21">
        <v>12</v>
      </c>
    </row>
    <row r="2077" spans="1:2" x14ac:dyDescent="0.25">
      <c r="A2077" s="20">
        <v>95228</v>
      </c>
      <c r="B2077" s="21">
        <v>12</v>
      </c>
    </row>
    <row r="2078" spans="1:2" x14ac:dyDescent="0.25">
      <c r="A2078" s="20">
        <v>95229</v>
      </c>
      <c r="B2078" s="21">
        <v>12</v>
      </c>
    </row>
    <row r="2079" spans="1:2" x14ac:dyDescent="0.25">
      <c r="A2079" s="20">
        <v>95230</v>
      </c>
      <c r="B2079" s="21">
        <v>12</v>
      </c>
    </row>
    <row r="2080" spans="1:2" x14ac:dyDescent="0.25">
      <c r="A2080" s="20">
        <v>95231</v>
      </c>
      <c r="B2080" s="21">
        <v>12</v>
      </c>
    </row>
    <row r="2081" spans="1:2" x14ac:dyDescent="0.25">
      <c r="A2081" s="20">
        <v>95232</v>
      </c>
      <c r="B2081" s="21">
        <v>12</v>
      </c>
    </row>
    <row r="2082" spans="1:2" x14ac:dyDescent="0.25">
      <c r="A2082" s="20">
        <v>95233</v>
      </c>
      <c r="B2082" s="21">
        <v>16</v>
      </c>
    </row>
    <row r="2083" spans="1:2" x14ac:dyDescent="0.25">
      <c r="A2083" s="20">
        <v>95234</v>
      </c>
      <c r="B2083" s="21">
        <v>12</v>
      </c>
    </row>
    <row r="2084" spans="1:2" x14ac:dyDescent="0.25">
      <c r="A2084" s="20">
        <v>95236</v>
      </c>
      <c r="B2084" s="21">
        <v>12</v>
      </c>
    </row>
    <row r="2085" spans="1:2" x14ac:dyDescent="0.25">
      <c r="A2085" s="20">
        <v>95237</v>
      </c>
      <c r="B2085" s="21">
        <v>12</v>
      </c>
    </row>
    <row r="2086" spans="1:2" x14ac:dyDescent="0.25">
      <c r="A2086" s="20">
        <v>95240</v>
      </c>
      <c r="B2086" s="21">
        <v>12</v>
      </c>
    </row>
    <row r="2087" spans="1:2" x14ac:dyDescent="0.25">
      <c r="A2087" s="20">
        <v>95241</v>
      </c>
      <c r="B2087" s="21">
        <v>12</v>
      </c>
    </row>
    <row r="2088" spans="1:2" x14ac:dyDescent="0.25">
      <c r="A2088" s="20">
        <v>95242</v>
      </c>
      <c r="B2088" s="21">
        <v>12</v>
      </c>
    </row>
    <row r="2089" spans="1:2" x14ac:dyDescent="0.25">
      <c r="A2089" s="20">
        <v>95245</v>
      </c>
      <c r="B2089" s="21">
        <v>12</v>
      </c>
    </row>
    <row r="2090" spans="1:2" x14ac:dyDescent="0.25">
      <c r="A2090" s="20">
        <v>95246</v>
      </c>
      <c r="B2090" s="21">
        <v>12</v>
      </c>
    </row>
    <row r="2091" spans="1:2" x14ac:dyDescent="0.25">
      <c r="A2091" s="20">
        <v>95247</v>
      </c>
      <c r="B2091" s="21">
        <v>12</v>
      </c>
    </row>
    <row r="2092" spans="1:2" x14ac:dyDescent="0.25">
      <c r="A2092" s="20">
        <v>95248</v>
      </c>
      <c r="B2092" s="21">
        <v>12</v>
      </c>
    </row>
    <row r="2093" spans="1:2" x14ac:dyDescent="0.25">
      <c r="A2093" s="20">
        <v>95249</v>
      </c>
      <c r="B2093" s="21">
        <v>12</v>
      </c>
    </row>
    <row r="2094" spans="1:2" x14ac:dyDescent="0.25">
      <c r="A2094" s="20">
        <v>95250</v>
      </c>
      <c r="B2094" s="21">
        <v>12</v>
      </c>
    </row>
    <row r="2095" spans="1:2" x14ac:dyDescent="0.25">
      <c r="A2095" s="20">
        <v>95251</v>
      </c>
      <c r="B2095" s="21">
        <v>12</v>
      </c>
    </row>
    <row r="2096" spans="1:2" x14ac:dyDescent="0.25">
      <c r="A2096" s="20">
        <v>95252</v>
      </c>
      <c r="B2096" s="21">
        <v>12</v>
      </c>
    </row>
    <row r="2097" spans="1:2" x14ac:dyDescent="0.25">
      <c r="A2097" s="20">
        <v>95253</v>
      </c>
      <c r="B2097" s="21">
        <v>12</v>
      </c>
    </row>
    <row r="2098" spans="1:2" x14ac:dyDescent="0.25">
      <c r="A2098" s="20">
        <v>95254</v>
      </c>
      <c r="B2098" s="21">
        <v>12</v>
      </c>
    </row>
    <row r="2099" spans="1:2" x14ac:dyDescent="0.25">
      <c r="A2099" s="20">
        <v>95255</v>
      </c>
      <c r="B2099" s="21">
        <v>12</v>
      </c>
    </row>
    <row r="2100" spans="1:2" x14ac:dyDescent="0.25">
      <c r="A2100" s="20">
        <v>95257</v>
      </c>
      <c r="B2100" s="21">
        <v>12</v>
      </c>
    </row>
    <row r="2101" spans="1:2" x14ac:dyDescent="0.25">
      <c r="A2101" s="20">
        <v>95258</v>
      </c>
      <c r="B2101" s="21">
        <v>12</v>
      </c>
    </row>
    <row r="2102" spans="1:2" x14ac:dyDescent="0.25">
      <c r="A2102" s="20">
        <v>95267</v>
      </c>
      <c r="B2102" s="21">
        <v>12</v>
      </c>
    </row>
    <row r="2103" spans="1:2" x14ac:dyDescent="0.25">
      <c r="A2103" s="20">
        <v>95269</v>
      </c>
      <c r="B2103" s="21">
        <v>12</v>
      </c>
    </row>
    <row r="2104" spans="1:2" x14ac:dyDescent="0.25">
      <c r="A2104" s="20">
        <v>95290</v>
      </c>
      <c r="B2104" s="21">
        <v>12</v>
      </c>
    </row>
    <row r="2105" spans="1:2" x14ac:dyDescent="0.25">
      <c r="A2105" s="20">
        <v>95296</v>
      </c>
      <c r="B2105" s="21">
        <v>12</v>
      </c>
    </row>
    <row r="2106" spans="1:2" x14ac:dyDescent="0.25">
      <c r="A2106" s="20">
        <v>95297</v>
      </c>
      <c r="B2106" s="21">
        <v>12</v>
      </c>
    </row>
    <row r="2107" spans="1:2" x14ac:dyDescent="0.25">
      <c r="A2107" s="20">
        <v>95298</v>
      </c>
      <c r="B2107" s="21">
        <v>12</v>
      </c>
    </row>
    <row r="2108" spans="1:2" x14ac:dyDescent="0.25">
      <c r="A2108" s="20">
        <v>95301</v>
      </c>
      <c r="B2108" s="21">
        <v>12</v>
      </c>
    </row>
    <row r="2109" spans="1:2" x14ac:dyDescent="0.25">
      <c r="A2109" s="20">
        <v>95303</v>
      </c>
      <c r="B2109" s="21">
        <v>12</v>
      </c>
    </row>
    <row r="2110" spans="1:2" x14ac:dyDescent="0.25">
      <c r="A2110" s="20">
        <v>95304</v>
      </c>
      <c r="B2110" s="21">
        <v>12</v>
      </c>
    </row>
    <row r="2111" spans="1:2" x14ac:dyDescent="0.25">
      <c r="A2111" s="20">
        <v>95305</v>
      </c>
      <c r="B2111" s="21">
        <v>12</v>
      </c>
    </row>
    <row r="2112" spans="1:2" x14ac:dyDescent="0.25">
      <c r="A2112" s="20">
        <v>95306</v>
      </c>
      <c r="B2112" s="21">
        <v>12</v>
      </c>
    </row>
    <row r="2113" spans="1:2" x14ac:dyDescent="0.25">
      <c r="A2113" s="20">
        <v>95307</v>
      </c>
      <c r="B2113" s="21">
        <v>12</v>
      </c>
    </row>
    <row r="2114" spans="1:2" x14ac:dyDescent="0.25">
      <c r="A2114" s="20">
        <v>95309</v>
      </c>
      <c r="B2114" s="21">
        <v>12</v>
      </c>
    </row>
    <row r="2115" spans="1:2" x14ac:dyDescent="0.25">
      <c r="A2115" s="20">
        <v>95310</v>
      </c>
      <c r="B2115" s="21">
        <v>12</v>
      </c>
    </row>
    <row r="2116" spans="1:2" x14ac:dyDescent="0.25">
      <c r="A2116" s="20">
        <v>95311</v>
      </c>
      <c r="B2116" s="21">
        <v>12</v>
      </c>
    </row>
    <row r="2117" spans="1:2" x14ac:dyDescent="0.25">
      <c r="A2117" s="20">
        <v>95312</v>
      </c>
      <c r="B2117" s="21">
        <v>12</v>
      </c>
    </row>
    <row r="2118" spans="1:2" x14ac:dyDescent="0.25">
      <c r="A2118" s="20">
        <v>95313</v>
      </c>
      <c r="B2118" s="21">
        <v>12</v>
      </c>
    </row>
    <row r="2119" spans="1:2" x14ac:dyDescent="0.25">
      <c r="A2119" s="20">
        <v>95314</v>
      </c>
      <c r="B2119" s="21">
        <v>16</v>
      </c>
    </row>
    <row r="2120" spans="1:2" x14ac:dyDescent="0.25">
      <c r="A2120" s="20">
        <v>95315</v>
      </c>
      <c r="B2120" s="21">
        <v>12</v>
      </c>
    </row>
    <row r="2121" spans="1:2" x14ac:dyDescent="0.25">
      <c r="A2121" s="20">
        <v>95316</v>
      </c>
      <c r="B2121" s="21">
        <v>12</v>
      </c>
    </row>
    <row r="2122" spans="1:2" x14ac:dyDescent="0.25">
      <c r="A2122" s="20">
        <v>95317</v>
      </c>
      <c r="B2122" s="21">
        <v>12</v>
      </c>
    </row>
    <row r="2123" spans="1:2" x14ac:dyDescent="0.25">
      <c r="A2123" s="20">
        <v>95318</v>
      </c>
      <c r="B2123" s="21">
        <v>16</v>
      </c>
    </row>
    <row r="2124" spans="1:2" x14ac:dyDescent="0.25">
      <c r="A2124" s="20">
        <v>95319</v>
      </c>
      <c r="B2124" s="21">
        <v>12</v>
      </c>
    </row>
    <row r="2125" spans="1:2" x14ac:dyDescent="0.25">
      <c r="A2125" s="20">
        <v>95320</v>
      </c>
      <c r="B2125" s="21">
        <v>12</v>
      </c>
    </row>
    <row r="2126" spans="1:2" x14ac:dyDescent="0.25">
      <c r="A2126" s="20">
        <v>95321</v>
      </c>
      <c r="B2126" s="21">
        <v>12</v>
      </c>
    </row>
    <row r="2127" spans="1:2" x14ac:dyDescent="0.25">
      <c r="A2127" s="20">
        <v>95322</v>
      </c>
      <c r="B2127" s="21">
        <v>12</v>
      </c>
    </row>
    <row r="2128" spans="1:2" x14ac:dyDescent="0.25">
      <c r="A2128" s="20">
        <v>95323</v>
      </c>
      <c r="B2128" s="21">
        <v>12</v>
      </c>
    </row>
    <row r="2129" spans="1:2" x14ac:dyDescent="0.25">
      <c r="A2129" s="20">
        <v>95324</v>
      </c>
      <c r="B2129" s="21">
        <v>12</v>
      </c>
    </row>
    <row r="2130" spans="1:2" x14ac:dyDescent="0.25">
      <c r="A2130" s="20">
        <v>95325</v>
      </c>
      <c r="B2130" s="21">
        <v>12</v>
      </c>
    </row>
    <row r="2131" spans="1:2" x14ac:dyDescent="0.25">
      <c r="A2131" s="20">
        <v>95326</v>
      </c>
      <c r="B2131" s="21">
        <v>12</v>
      </c>
    </row>
    <row r="2132" spans="1:2" x14ac:dyDescent="0.25">
      <c r="A2132" s="20">
        <v>95327</v>
      </c>
      <c r="B2132" s="21">
        <v>12</v>
      </c>
    </row>
    <row r="2133" spans="1:2" x14ac:dyDescent="0.25">
      <c r="A2133" s="20">
        <v>95328</v>
      </c>
      <c r="B2133" s="21">
        <v>12</v>
      </c>
    </row>
    <row r="2134" spans="1:2" x14ac:dyDescent="0.25">
      <c r="A2134" s="20">
        <v>95329</v>
      </c>
      <c r="B2134" s="21">
        <v>12</v>
      </c>
    </row>
    <row r="2135" spans="1:2" x14ac:dyDescent="0.25">
      <c r="A2135" s="20">
        <v>95330</v>
      </c>
      <c r="B2135" s="21">
        <v>12</v>
      </c>
    </row>
    <row r="2136" spans="1:2" x14ac:dyDescent="0.25">
      <c r="A2136" s="20">
        <v>95333</v>
      </c>
      <c r="B2136" s="21">
        <v>12</v>
      </c>
    </row>
    <row r="2137" spans="1:2" x14ac:dyDescent="0.25">
      <c r="A2137" s="20">
        <v>95334</v>
      </c>
      <c r="B2137" s="21">
        <v>12</v>
      </c>
    </row>
    <row r="2138" spans="1:2" x14ac:dyDescent="0.25">
      <c r="A2138" s="20">
        <v>95335</v>
      </c>
      <c r="B2138" s="21">
        <v>16</v>
      </c>
    </row>
    <row r="2139" spans="1:2" x14ac:dyDescent="0.25">
      <c r="A2139" s="20">
        <v>95336</v>
      </c>
      <c r="B2139" s="21">
        <v>12</v>
      </c>
    </row>
    <row r="2140" spans="1:2" x14ac:dyDescent="0.25">
      <c r="A2140" s="20">
        <v>95337</v>
      </c>
      <c r="B2140" s="21">
        <v>12</v>
      </c>
    </row>
    <row r="2141" spans="1:2" x14ac:dyDescent="0.25">
      <c r="A2141" s="20">
        <v>95338</v>
      </c>
      <c r="B2141" s="21">
        <v>12</v>
      </c>
    </row>
    <row r="2142" spans="1:2" x14ac:dyDescent="0.25">
      <c r="A2142" s="20">
        <v>95340</v>
      </c>
      <c r="B2142" s="21">
        <v>12</v>
      </c>
    </row>
    <row r="2143" spans="1:2" x14ac:dyDescent="0.25">
      <c r="A2143" s="20">
        <v>95341</v>
      </c>
      <c r="B2143" s="21">
        <v>12</v>
      </c>
    </row>
    <row r="2144" spans="1:2" x14ac:dyDescent="0.25">
      <c r="A2144" s="20">
        <v>95342</v>
      </c>
      <c r="B2144" s="21">
        <v>12</v>
      </c>
    </row>
    <row r="2145" spans="1:2" x14ac:dyDescent="0.25">
      <c r="A2145" s="20">
        <v>95343</v>
      </c>
      <c r="B2145" s="21">
        <v>12</v>
      </c>
    </row>
    <row r="2146" spans="1:2" x14ac:dyDescent="0.25">
      <c r="A2146" s="20">
        <v>95344</v>
      </c>
      <c r="B2146" s="21">
        <v>12</v>
      </c>
    </row>
    <row r="2147" spans="1:2" x14ac:dyDescent="0.25">
      <c r="A2147" s="20">
        <v>95345</v>
      </c>
      <c r="B2147" s="21">
        <v>12</v>
      </c>
    </row>
    <row r="2148" spans="1:2" x14ac:dyDescent="0.25">
      <c r="A2148" s="20">
        <v>95346</v>
      </c>
      <c r="B2148" s="21">
        <v>16</v>
      </c>
    </row>
    <row r="2149" spans="1:2" x14ac:dyDescent="0.25">
      <c r="A2149" s="20">
        <v>95347</v>
      </c>
      <c r="B2149" s="21">
        <v>12</v>
      </c>
    </row>
    <row r="2150" spans="1:2" x14ac:dyDescent="0.25">
      <c r="A2150" s="20">
        <v>95348</v>
      </c>
      <c r="B2150" s="21">
        <v>12</v>
      </c>
    </row>
    <row r="2151" spans="1:2" x14ac:dyDescent="0.25">
      <c r="A2151" s="20">
        <v>95350</v>
      </c>
      <c r="B2151" s="21">
        <v>12</v>
      </c>
    </row>
    <row r="2152" spans="1:2" x14ac:dyDescent="0.25">
      <c r="A2152" s="20">
        <v>95351</v>
      </c>
      <c r="B2152" s="21">
        <v>12</v>
      </c>
    </row>
    <row r="2153" spans="1:2" x14ac:dyDescent="0.25">
      <c r="A2153" s="20">
        <v>95352</v>
      </c>
      <c r="B2153" s="21">
        <v>12</v>
      </c>
    </row>
    <row r="2154" spans="1:2" x14ac:dyDescent="0.25">
      <c r="A2154" s="20">
        <v>95353</v>
      </c>
      <c r="B2154" s="21">
        <v>12</v>
      </c>
    </row>
    <row r="2155" spans="1:2" x14ac:dyDescent="0.25">
      <c r="A2155" s="20">
        <v>95354</v>
      </c>
      <c r="B2155" s="21">
        <v>12</v>
      </c>
    </row>
    <row r="2156" spans="1:2" x14ac:dyDescent="0.25">
      <c r="A2156" s="20">
        <v>95355</v>
      </c>
      <c r="B2156" s="21">
        <v>12</v>
      </c>
    </row>
    <row r="2157" spans="1:2" x14ac:dyDescent="0.25">
      <c r="A2157" s="20">
        <v>95356</v>
      </c>
      <c r="B2157" s="21">
        <v>12</v>
      </c>
    </row>
    <row r="2158" spans="1:2" x14ac:dyDescent="0.25">
      <c r="A2158" s="20">
        <v>95357</v>
      </c>
      <c r="B2158" s="21">
        <v>12</v>
      </c>
    </row>
    <row r="2159" spans="1:2" x14ac:dyDescent="0.25">
      <c r="A2159" s="20">
        <v>95358</v>
      </c>
      <c r="B2159" s="21">
        <v>12</v>
      </c>
    </row>
    <row r="2160" spans="1:2" x14ac:dyDescent="0.25">
      <c r="A2160" s="20">
        <v>95360</v>
      </c>
      <c r="B2160" s="21">
        <v>12</v>
      </c>
    </row>
    <row r="2161" spans="1:2" x14ac:dyDescent="0.25">
      <c r="A2161" s="20">
        <v>95361</v>
      </c>
      <c r="B2161" s="21">
        <v>12</v>
      </c>
    </row>
    <row r="2162" spans="1:2" x14ac:dyDescent="0.25">
      <c r="A2162" s="20">
        <v>95363</v>
      </c>
      <c r="B2162" s="21">
        <v>12</v>
      </c>
    </row>
    <row r="2163" spans="1:2" x14ac:dyDescent="0.25">
      <c r="A2163" s="20">
        <v>95364</v>
      </c>
      <c r="B2163" s="21">
        <v>16</v>
      </c>
    </row>
    <row r="2164" spans="1:2" x14ac:dyDescent="0.25">
      <c r="A2164" s="20">
        <v>95365</v>
      </c>
      <c r="B2164" s="21">
        <v>12</v>
      </c>
    </row>
    <row r="2165" spans="1:2" x14ac:dyDescent="0.25">
      <c r="A2165" s="20">
        <v>95366</v>
      </c>
      <c r="B2165" s="21">
        <v>12</v>
      </c>
    </row>
    <row r="2166" spans="1:2" x14ac:dyDescent="0.25">
      <c r="A2166" s="20">
        <v>95367</v>
      </c>
      <c r="B2166" s="21">
        <v>12</v>
      </c>
    </row>
    <row r="2167" spans="1:2" x14ac:dyDescent="0.25">
      <c r="A2167" s="20">
        <v>95368</v>
      </c>
      <c r="B2167" s="21">
        <v>12</v>
      </c>
    </row>
    <row r="2168" spans="1:2" x14ac:dyDescent="0.25">
      <c r="A2168" s="20">
        <v>95369</v>
      </c>
      <c r="B2168" s="21">
        <v>12</v>
      </c>
    </row>
    <row r="2169" spans="1:2" x14ac:dyDescent="0.25">
      <c r="A2169" s="20">
        <v>95370</v>
      </c>
      <c r="B2169" s="21">
        <v>12</v>
      </c>
    </row>
    <row r="2170" spans="1:2" x14ac:dyDescent="0.25">
      <c r="A2170" s="20">
        <v>95372</v>
      </c>
      <c r="B2170" s="21">
        <v>12</v>
      </c>
    </row>
    <row r="2171" spans="1:2" x14ac:dyDescent="0.25">
      <c r="A2171" s="20">
        <v>95373</v>
      </c>
      <c r="B2171" s="21">
        <v>12</v>
      </c>
    </row>
    <row r="2172" spans="1:2" x14ac:dyDescent="0.25">
      <c r="A2172" s="20">
        <v>95374</v>
      </c>
      <c r="B2172" s="21">
        <v>12</v>
      </c>
    </row>
    <row r="2173" spans="1:2" x14ac:dyDescent="0.25">
      <c r="A2173" s="20">
        <v>95375</v>
      </c>
      <c r="B2173" s="21">
        <v>16</v>
      </c>
    </row>
    <row r="2174" spans="1:2" x14ac:dyDescent="0.25">
      <c r="A2174" s="20">
        <v>95376</v>
      </c>
      <c r="B2174" s="21">
        <v>12</v>
      </c>
    </row>
    <row r="2175" spans="1:2" x14ac:dyDescent="0.25">
      <c r="A2175" s="20">
        <v>95377</v>
      </c>
      <c r="B2175" s="21">
        <v>12</v>
      </c>
    </row>
    <row r="2176" spans="1:2" x14ac:dyDescent="0.25">
      <c r="A2176" s="20">
        <v>95378</v>
      </c>
      <c r="B2176" s="21">
        <v>12</v>
      </c>
    </row>
    <row r="2177" spans="1:2" x14ac:dyDescent="0.25">
      <c r="A2177" s="20">
        <v>95379</v>
      </c>
      <c r="B2177" s="21">
        <v>12</v>
      </c>
    </row>
    <row r="2178" spans="1:2" x14ac:dyDescent="0.25">
      <c r="A2178" s="20">
        <v>95380</v>
      </c>
      <c r="B2178" s="21">
        <v>12</v>
      </c>
    </row>
    <row r="2179" spans="1:2" x14ac:dyDescent="0.25">
      <c r="A2179" s="20">
        <v>95381</v>
      </c>
      <c r="B2179" s="21">
        <v>12</v>
      </c>
    </row>
    <row r="2180" spans="1:2" x14ac:dyDescent="0.25">
      <c r="A2180" s="20">
        <v>95382</v>
      </c>
      <c r="B2180" s="21">
        <v>12</v>
      </c>
    </row>
    <row r="2181" spans="1:2" x14ac:dyDescent="0.25">
      <c r="A2181" s="20">
        <v>95383</v>
      </c>
      <c r="B2181" s="21">
        <v>12</v>
      </c>
    </row>
    <row r="2182" spans="1:2" x14ac:dyDescent="0.25">
      <c r="A2182" s="20">
        <v>95385</v>
      </c>
      <c r="B2182" s="21">
        <v>12</v>
      </c>
    </row>
    <row r="2183" spans="1:2" x14ac:dyDescent="0.25">
      <c r="A2183" s="20">
        <v>95386</v>
      </c>
      <c r="B2183" s="21">
        <v>12</v>
      </c>
    </row>
    <row r="2184" spans="1:2" x14ac:dyDescent="0.25">
      <c r="A2184" s="20">
        <v>95387</v>
      </c>
      <c r="B2184" s="21">
        <v>12</v>
      </c>
    </row>
    <row r="2185" spans="1:2" x14ac:dyDescent="0.25">
      <c r="A2185" s="20">
        <v>95388</v>
      </c>
      <c r="B2185" s="21">
        <v>12</v>
      </c>
    </row>
    <row r="2186" spans="1:2" x14ac:dyDescent="0.25">
      <c r="A2186" s="20">
        <v>95389</v>
      </c>
      <c r="B2186" s="21">
        <v>16</v>
      </c>
    </row>
    <row r="2187" spans="1:2" x14ac:dyDescent="0.25">
      <c r="A2187" s="20">
        <v>95390</v>
      </c>
      <c r="B2187" s="21">
        <v>12</v>
      </c>
    </row>
    <row r="2188" spans="1:2" x14ac:dyDescent="0.25">
      <c r="A2188" s="20">
        <v>95391</v>
      </c>
      <c r="B2188" s="21">
        <v>12</v>
      </c>
    </row>
    <row r="2189" spans="1:2" x14ac:dyDescent="0.25">
      <c r="A2189" s="20">
        <v>95397</v>
      </c>
      <c r="B2189" s="21">
        <v>12</v>
      </c>
    </row>
    <row r="2190" spans="1:2" x14ac:dyDescent="0.25">
      <c r="A2190" s="20">
        <v>95401</v>
      </c>
      <c r="B2190" s="21">
        <v>2</v>
      </c>
    </row>
    <row r="2191" spans="1:2" x14ac:dyDescent="0.25">
      <c r="A2191" s="20">
        <v>95402</v>
      </c>
      <c r="B2191" s="21">
        <v>2</v>
      </c>
    </row>
    <row r="2192" spans="1:2" x14ac:dyDescent="0.25">
      <c r="A2192" s="20">
        <v>95403</v>
      </c>
      <c r="B2192" s="21">
        <v>2</v>
      </c>
    </row>
    <row r="2193" spans="1:2" x14ac:dyDescent="0.25">
      <c r="A2193" s="20">
        <v>95404</v>
      </c>
      <c r="B2193" s="21">
        <v>2</v>
      </c>
    </row>
    <row r="2194" spans="1:2" x14ac:dyDescent="0.25">
      <c r="A2194" s="20">
        <v>95405</v>
      </c>
      <c r="B2194" s="21">
        <v>2</v>
      </c>
    </row>
    <row r="2195" spans="1:2" x14ac:dyDescent="0.25">
      <c r="A2195" s="20">
        <v>95406</v>
      </c>
      <c r="B2195" s="21">
        <v>2</v>
      </c>
    </row>
    <row r="2196" spans="1:2" x14ac:dyDescent="0.25">
      <c r="A2196" s="20">
        <v>95407</v>
      </c>
      <c r="B2196" s="21">
        <v>2</v>
      </c>
    </row>
    <row r="2197" spans="1:2" x14ac:dyDescent="0.25">
      <c r="A2197" s="20">
        <v>95408</v>
      </c>
      <c r="B2197" s="21">
        <v>2</v>
      </c>
    </row>
    <row r="2198" spans="1:2" x14ac:dyDescent="0.25">
      <c r="A2198" s="20">
        <v>95409</v>
      </c>
      <c r="B2198" s="21">
        <v>2</v>
      </c>
    </row>
    <row r="2199" spans="1:2" x14ac:dyDescent="0.25">
      <c r="A2199" s="20">
        <v>95410</v>
      </c>
      <c r="B2199" s="21">
        <v>1</v>
      </c>
    </row>
    <row r="2200" spans="1:2" x14ac:dyDescent="0.25">
      <c r="A2200" s="20">
        <v>95412</v>
      </c>
      <c r="B2200" s="21">
        <v>1</v>
      </c>
    </row>
    <row r="2201" spans="1:2" x14ac:dyDescent="0.25">
      <c r="A2201" s="20">
        <v>95415</v>
      </c>
      <c r="B2201" s="21">
        <v>2</v>
      </c>
    </row>
    <row r="2202" spans="1:2" x14ac:dyDescent="0.25">
      <c r="A2202" s="20">
        <v>95416</v>
      </c>
      <c r="B2202" s="21">
        <v>2</v>
      </c>
    </row>
    <row r="2203" spans="1:2" x14ac:dyDescent="0.25">
      <c r="A2203" s="20">
        <v>95417</v>
      </c>
      <c r="B2203" s="21">
        <v>1</v>
      </c>
    </row>
    <row r="2204" spans="1:2" x14ac:dyDescent="0.25">
      <c r="A2204" s="20">
        <v>95418</v>
      </c>
      <c r="B2204" s="21">
        <v>2</v>
      </c>
    </row>
    <row r="2205" spans="1:2" x14ac:dyDescent="0.25">
      <c r="A2205" s="20">
        <v>95419</v>
      </c>
      <c r="B2205" s="21">
        <v>2</v>
      </c>
    </row>
    <row r="2206" spans="1:2" x14ac:dyDescent="0.25">
      <c r="A2206" s="20">
        <v>95420</v>
      </c>
      <c r="B2206" s="21">
        <v>1</v>
      </c>
    </row>
    <row r="2207" spans="1:2" x14ac:dyDescent="0.25">
      <c r="A2207" s="20">
        <v>95421</v>
      </c>
      <c r="B2207" s="21">
        <v>1</v>
      </c>
    </row>
    <row r="2208" spans="1:2" x14ac:dyDescent="0.25">
      <c r="A2208" s="20">
        <v>95422</v>
      </c>
      <c r="B2208" s="21">
        <v>2</v>
      </c>
    </row>
    <row r="2209" spans="1:2" x14ac:dyDescent="0.25">
      <c r="A2209" s="20">
        <v>95423</v>
      </c>
      <c r="B2209" s="21">
        <v>2</v>
      </c>
    </row>
    <row r="2210" spans="1:2" x14ac:dyDescent="0.25">
      <c r="A2210" s="20">
        <v>95424</v>
      </c>
      <c r="B2210" s="21">
        <v>2</v>
      </c>
    </row>
    <row r="2211" spans="1:2" x14ac:dyDescent="0.25">
      <c r="A2211" s="20">
        <v>95425</v>
      </c>
      <c r="B2211" s="21">
        <v>2</v>
      </c>
    </row>
    <row r="2212" spans="1:2" x14ac:dyDescent="0.25">
      <c r="A2212" s="20">
        <v>95426</v>
      </c>
      <c r="B2212" s="21">
        <v>2</v>
      </c>
    </row>
    <row r="2213" spans="1:2" x14ac:dyDescent="0.25">
      <c r="A2213" s="20">
        <v>95427</v>
      </c>
      <c r="B2213" s="21">
        <v>1</v>
      </c>
    </row>
    <row r="2214" spans="1:2" x14ac:dyDescent="0.25">
      <c r="A2214" s="20">
        <v>95428</v>
      </c>
      <c r="B2214" s="21">
        <v>2</v>
      </c>
    </row>
    <row r="2215" spans="1:2" x14ac:dyDescent="0.25">
      <c r="A2215" s="20">
        <v>95429</v>
      </c>
      <c r="B2215" s="21">
        <v>2</v>
      </c>
    </row>
    <row r="2216" spans="1:2" x14ac:dyDescent="0.25">
      <c r="A2216" s="20">
        <v>95430</v>
      </c>
      <c r="B2216" s="21">
        <v>1</v>
      </c>
    </row>
    <row r="2217" spans="1:2" x14ac:dyDescent="0.25">
      <c r="A2217" s="20">
        <v>95431</v>
      </c>
      <c r="B2217" s="21">
        <v>2</v>
      </c>
    </row>
    <row r="2218" spans="1:2" x14ac:dyDescent="0.25">
      <c r="A2218" s="20">
        <v>95432</v>
      </c>
      <c r="B2218" s="21">
        <v>1</v>
      </c>
    </row>
    <row r="2219" spans="1:2" x14ac:dyDescent="0.25">
      <c r="A2219" s="20">
        <v>95433</v>
      </c>
      <c r="B2219" s="21">
        <v>2</v>
      </c>
    </row>
    <row r="2220" spans="1:2" x14ac:dyDescent="0.25">
      <c r="A2220" s="20">
        <v>95435</v>
      </c>
      <c r="B2220" s="21">
        <v>2</v>
      </c>
    </row>
    <row r="2221" spans="1:2" x14ac:dyDescent="0.25">
      <c r="A2221" s="20">
        <v>95436</v>
      </c>
      <c r="B2221" s="21">
        <v>2</v>
      </c>
    </row>
    <row r="2222" spans="1:2" x14ac:dyDescent="0.25">
      <c r="A2222" s="20">
        <v>95437</v>
      </c>
      <c r="B2222" s="21">
        <v>1</v>
      </c>
    </row>
    <row r="2223" spans="1:2" x14ac:dyDescent="0.25">
      <c r="A2223" s="20">
        <v>95439</v>
      </c>
      <c r="B2223" s="21">
        <v>2</v>
      </c>
    </row>
    <row r="2224" spans="1:2" x14ac:dyDescent="0.25">
      <c r="A2224" s="20">
        <v>95441</v>
      </c>
      <c r="B2224" s="21">
        <v>2</v>
      </c>
    </row>
    <row r="2225" spans="1:2" x14ac:dyDescent="0.25">
      <c r="A2225" s="20">
        <v>95442</v>
      </c>
      <c r="B2225" s="21">
        <v>2</v>
      </c>
    </row>
    <row r="2226" spans="1:2" x14ac:dyDescent="0.25">
      <c r="A2226" s="20">
        <v>95443</v>
      </c>
      <c r="B2226" s="21">
        <v>2</v>
      </c>
    </row>
    <row r="2227" spans="1:2" x14ac:dyDescent="0.25">
      <c r="A2227" s="20">
        <v>95444</v>
      </c>
      <c r="B2227" s="21">
        <v>2</v>
      </c>
    </row>
    <row r="2228" spans="1:2" x14ac:dyDescent="0.25">
      <c r="A2228" s="20">
        <v>95445</v>
      </c>
      <c r="B2228" s="21">
        <v>1</v>
      </c>
    </row>
    <row r="2229" spans="1:2" x14ac:dyDescent="0.25">
      <c r="A2229" s="20">
        <v>95446</v>
      </c>
      <c r="B2229" s="21">
        <v>2</v>
      </c>
    </row>
    <row r="2230" spans="1:2" x14ac:dyDescent="0.25">
      <c r="A2230" s="20">
        <v>95448</v>
      </c>
      <c r="B2230" s="21">
        <v>2</v>
      </c>
    </row>
    <row r="2231" spans="1:2" x14ac:dyDescent="0.25">
      <c r="A2231" s="20">
        <v>95449</v>
      </c>
      <c r="B2231" s="21">
        <v>2</v>
      </c>
    </row>
    <row r="2232" spans="1:2" x14ac:dyDescent="0.25">
      <c r="A2232" s="20">
        <v>95450</v>
      </c>
      <c r="B2232" s="21">
        <v>1</v>
      </c>
    </row>
    <row r="2233" spans="1:2" x14ac:dyDescent="0.25">
      <c r="A2233" s="20">
        <v>95451</v>
      </c>
      <c r="B2233" s="21">
        <v>2</v>
      </c>
    </row>
    <row r="2234" spans="1:2" x14ac:dyDescent="0.25">
      <c r="A2234" s="20">
        <v>95452</v>
      </c>
      <c r="B2234" s="21">
        <v>2</v>
      </c>
    </row>
    <row r="2235" spans="1:2" x14ac:dyDescent="0.25">
      <c r="A2235" s="20">
        <v>95453</v>
      </c>
      <c r="B2235" s="21">
        <v>2</v>
      </c>
    </row>
    <row r="2236" spans="1:2" x14ac:dyDescent="0.25">
      <c r="A2236" s="20">
        <v>95454</v>
      </c>
      <c r="B2236" s="21">
        <v>2</v>
      </c>
    </row>
    <row r="2237" spans="1:2" x14ac:dyDescent="0.25">
      <c r="A2237" s="20">
        <v>95456</v>
      </c>
      <c r="B2237" s="21">
        <v>1</v>
      </c>
    </row>
    <row r="2238" spans="1:2" x14ac:dyDescent="0.25">
      <c r="A2238" s="20">
        <v>95457</v>
      </c>
      <c r="B2238" s="21">
        <v>2</v>
      </c>
    </row>
    <row r="2239" spans="1:2" x14ac:dyDescent="0.25">
      <c r="A2239" s="20">
        <v>95458</v>
      </c>
      <c r="B2239" s="21">
        <v>2</v>
      </c>
    </row>
    <row r="2240" spans="1:2" x14ac:dyDescent="0.25">
      <c r="A2240" s="20">
        <v>95459</v>
      </c>
      <c r="B2240" s="21">
        <v>1</v>
      </c>
    </row>
    <row r="2241" spans="1:2" x14ac:dyDescent="0.25">
      <c r="A2241" s="20">
        <v>95460</v>
      </c>
      <c r="B2241" s="21">
        <v>1</v>
      </c>
    </row>
    <row r="2242" spans="1:2" x14ac:dyDescent="0.25">
      <c r="A2242" s="20">
        <v>95461</v>
      </c>
      <c r="B2242" s="21">
        <v>2</v>
      </c>
    </row>
    <row r="2243" spans="1:2" x14ac:dyDescent="0.25">
      <c r="A2243" s="20">
        <v>95462</v>
      </c>
      <c r="B2243" s="21">
        <v>1</v>
      </c>
    </row>
    <row r="2244" spans="1:2" x14ac:dyDescent="0.25">
      <c r="A2244" s="20">
        <v>95463</v>
      </c>
      <c r="B2244" s="21">
        <v>2</v>
      </c>
    </row>
    <row r="2245" spans="1:2" x14ac:dyDescent="0.25">
      <c r="A2245" s="20">
        <v>95464</v>
      </c>
      <c r="B2245" s="21">
        <v>2</v>
      </c>
    </row>
    <row r="2246" spans="1:2" x14ac:dyDescent="0.25">
      <c r="A2246" s="20">
        <v>95465</v>
      </c>
      <c r="B2246" s="21">
        <v>1</v>
      </c>
    </row>
    <row r="2247" spans="1:2" x14ac:dyDescent="0.25">
      <c r="A2247" s="20">
        <v>95466</v>
      </c>
      <c r="B2247" s="21">
        <v>2</v>
      </c>
    </row>
    <row r="2248" spans="1:2" x14ac:dyDescent="0.25">
      <c r="A2248" s="20">
        <v>95467</v>
      </c>
      <c r="B2248" s="21">
        <v>2</v>
      </c>
    </row>
    <row r="2249" spans="1:2" x14ac:dyDescent="0.25">
      <c r="A2249" s="20">
        <v>95468</v>
      </c>
      <c r="B2249" s="21">
        <v>1</v>
      </c>
    </row>
    <row r="2250" spans="1:2" x14ac:dyDescent="0.25">
      <c r="A2250" s="20">
        <v>95469</v>
      </c>
      <c r="B2250" s="21">
        <v>2</v>
      </c>
    </row>
    <row r="2251" spans="1:2" x14ac:dyDescent="0.25">
      <c r="A2251" s="20">
        <v>95470</v>
      </c>
      <c r="B2251" s="21">
        <v>2</v>
      </c>
    </row>
    <row r="2252" spans="1:2" x14ac:dyDescent="0.25">
      <c r="A2252" s="20">
        <v>95471</v>
      </c>
      <c r="B2252" s="21">
        <v>2</v>
      </c>
    </row>
    <row r="2253" spans="1:2" x14ac:dyDescent="0.25">
      <c r="A2253" s="20">
        <v>95472</v>
      </c>
      <c r="B2253" s="21">
        <v>2</v>
      </c>
    </row>
    <row r="2254" spans="1:2" x14ac:dyDescent="0.25">
      <c r="A2254" s="20">
        <v>95473</v>
      </c>
      <c r="B2254" s="21">
        <v>2</v>
      </c>
    </row>
    <row r="2255" spans="1:2" x14ac:dyDescent="0.25">
      <c r="A2255" s="20">
        <v>95476</v>
      </c>
      <c r="B2255" s="21">
        <v>2</v>
      </c>
    </row>
    <row r="2256" spans="1:2" x14ac:dyDescent="0.25">
      <c r="A2256" s="20">
        <v>95480</v>
      </c>
      <c r="B2256" s="21">
        <v>1</v>
      </c>
    </row>
    <row r="2257" spans="1:2" x14ac:dyDescent="0.25">
      <c r="A2257" s="20">
        <v>95481</v>
      </c>
      <c r="B2257" s="21">
        <v>2</v>
      </c>
    </row>
    <row r="2258" spans="1:2" x14ac:dyDescent="0.25">
      <c r="A2258" s="20">
        <v>95482</v>
      </c>
      <c r="B2258" s="21">
        <v>2</v>
      </c>
    </row>
    <row r="2259" spans="1:2" x14ac:dyDescent="0.25">
      <c r="A2259" s="20">
        <v>95485</v>
      </c>
      <c r="B2259" s="21">
        <v>2</v>
      </c>
    </row>
    <row r="2260" spans="1:2" x14ac:dyDescent="0.25">
      <c r="A2260" s="20">
        <v>95486</v>
      </c>
      <c r="B2260" s="21">
        <v>1</v>
      </c>
    </row>
    <row r="2261" spans="1:2" x14ac:dyDescent="0.25">
      <c r="A2261" s="20">
        <v>95487</v>
      </c>
      <c r="B2261" s="21">
        <v>2</v>
      </c>
    </row>
    <row r="2262" spans="1:2" x14ac:dyDescent="0.25">
      <c r="A2262" s="20">
        <v>95488</v>
      </c>
      <c r="B2262" s="21">
        <v>1</v>
      </c>
    </row>
    <row r="2263" spans="1:2" x14ac:dyDescent="0.25">
      <c r="A2263" s="20">
        <v>95490</v>
      </c>
      <c r="B2263" s="21">
        <v>2</v>
      </c>
    </row>
    <row r="2264" spans="1:2" x14ac:dyDescent="0.25">
      <c r="A2264" s="20">
        <v>95492</v>
      </c>
      <c r="B2264" s="21">
        <v>2</v>
      </c>
    </row>
    <row r="2265" spans="1:2" x14ac:dyDescent="0.25">
      <c r="A2265" s="20">
        <v>95493</v>
      </c>
      <c r="B2265" s="21">
        <v>2</v>
      </c>
    </row>
    <row r="2266" spans="1:2" x14ac:dyDescent="0.25">
      <c r="A2266" s="20">
        <v>95494</v>
      </c>
      <c r="B2266" s="21">
        <v>2</v>
      </c>
    </row>
    <row r="2267" spans="1:2" x14ac:dyDescent="0.25">
      <c r="A2267" s="20">
        <v>95497</v>
      </c>
      <c r="B2267" s="21">
        <v>1</v>
      </c>
    </row>
    <row r="2268" spans="1:2" x14ac:dyDescent="0.25">
      <c r="A2268" s="20">
        <v>95501</v>
      </c>
      <c r="B2268" s="21">
        <v>1</v>
      </c>
    </row>
    <row r="2269" spans="1:2" x14ac:dyDescent="0.25">
      <c r="A2269" s="20">
        <v>95502</v>
      </c>
      <c r="B2269" s="21">
        <v>1</v>
      </c>
    </row>
    <row r="2270" spans="1:2" x14ac:dyDescent="0.25">
      <c r="A2270" s="20">
        <v>95503</v>
      </c>
      <c r="B2270" s="21">
        <v>1</v>
      </c>
    </row>
    <row r="2271" spans="1:2" x14ac:dyDescent="0.25">
      <c r="A2271" s="20">
        <v>95511</v>
      </c>
      <c r="B2271" s="21">
        <v>2</v>
      </c>
    </row>
    <row r="2272" spans="1:2" x14ac:dyDescent="0.25">
      <c r="A2272" s="20">
        <v>95514</v>
      </c>
      <c r="B2272" s="21">
        <v>2</v>
      </c>
    </row>
    <row r="2273" spans="1:2" x14ac:dyDescent="0.25">
      <c r="A2273" s="20">
        <v>95518</v>
      </c>
      <c r="B2273" s="21">
        <v>1</v>
      </c>
    </row>
    <row r="2274" spans="1:2" x14ac:dyDescent="0.25">
      <c r="A2274" s="20">
        <v>95519</v>
      </c>
      <c r="B2274" s="21">
        <v>1</v>
      </c>
    </row>
    <row r="2275" spans="1:2" x14ac:dyDescent="0.25">
      <c r="A2275" s="20">
        <v>95521</v>
      </c>
      <c r="B2275" s="21">
        <v>1</v>
      </c>
    </row>
    <row r="2276" spans="1:2" x14ac:dyDescent="0.25">
      <c r="A2276" s="20">
        <v>95524</v>
      </c>
      <c r="B2276" s="21">
        <v>1</v>
      </c>
    </row>
    <row r="2277" spans="1:2" x14ac:dyDescent="0.25">
      <c r="A2277" s="20">
        <v>95525</v>
      </c>
      <c r="B2277" s="21">
        <v>1</v>
      </c>
    </row>
    <row r="2278" spans="1:2" x14ac:dyDescent="0.25">
      <c r="A2278" s="20">
        <v>95526</v>
      </c>
      <c r="B2278" s="21">
        <v>2</v>
      </c>
    </row>
    <row r="2279" spans="1:2" x14ac:dyDescent="0.25">
      <c r="A2279" s="20">
        <v>95527</v>
      </c>
      <c r="B2279" s="21">
        <v>16</v>
      </c>
    </row>
    <row r="2280" spans="1:2" x14ac:dyDescent="0.25">
      <c r="A2280" s="20">
        <v>95528</v>
      </c>
      <c r="B2280" s="21">
        <v>1</v>
      </c>
    </row>
    <row r="2281" spans="1:2" x14ac:dyDescent="0.25">
      <c r="A2281" s="20">
        <v>95531</v>
      </c>
      <c r="B2281" s="21">
        <v>1</v>
      </c>
    </row>
    <row r="2282" spans="1:2" x14ac:dyDescent="0.25">
      <c r="A2282" s="20">
        <v>95532</v>
      </c>
      <c r="B2282" s="21">
        <v>1</v>
      </c>
    </row>
    <row r="2283" spans="1:2" x14ac:dyDescent="0.25">
      <c r="A2283" s="20">
        <v>95534</v>
      </c>
      <c r="B2283" s="21">
        <v>1</v>
      </c>
    </row>
    <row r="2284" spans="1:2" x14ac:dyDescent="0.25">
      <c r="A2284" s="20">
        <v>95536</v>
      </c>
      <c r="B2284" s="21">
        <v>1</v>
      </c>
    </row>
    <row r="2285" spans="1:2" x14ac:dyDescent="0.25">
      <c r="A2285" s="20">
        <v>95537</v>
      </c>
      <c r="B2285" s="21">
        <v>1</v>
      </c>
    </row>
    <row r="2286" spans="1:2" x14ac:dyDescent="0.25">
      <c r="A2286" s="20">
        <v>95538</v>
      </c>
      <c r="B2286" s="21">
        <v>1</v>
      </c>
    </row>
    <row r="2287" spans="1:2" x14ac:dyDescent="0.25">
      <c r="A2287" s="20">
        <v>95540</v>
      </c>
      <c r="B2287" s="21">
        <v>1</v>
      </c>
    </row>
    <row r="2288" spans="1:2" x14ac:dyDescent="0.25">
      <c r="A2288" s="20">
        <v>95542</v>
      </c>
      <c r="B2288" s="21">
        <v>2</v>
      </c>
    </row>
    <row r="2289" spans="1:2" x14ac:dyDescent="0.25">
      <c r="A2289" s="20">
        <v>95543</v>
      </c>
      <c r="B2289" s="21">
        <v>16</v>
      </c>
    </row>
    <row r="2290" spans="1:2" x14ac:dyDescent="0.25">
      <c r="A2290" s="20">
        <v>95545</v>
      </c>
      <c r="B2290" s="21">
        <v>1</v>
      </c>
    </row>
    <row r="2291" spans="1:2" x14ac:dyDescent="0.25">
      <c r="A2291" s="20">
        <v>95546</v>
      </c>
      <c r="B2291" s="21">
        <v>2</v>
      </c>
    </row>
    <row r="2292" spans="1:2" x14ac:dyDescent="0.25">
      <c r="A2292" s="20">
        <v>95547</v>
      </c>
      <c r="B2292" s="21">
        <v>1</v>
      </c>
    </row>
    <row r="2293" spans="1:2" x14ac:dyDescent="0.25">
      <c r="A2293" s="20">
        <v>95548</v>
      </c>
      <c r="B2293" s="21">
        <v>1</v>
      </c>
    </row>
    <row r="2294" spans="1:2" x14ac:dyDescent="0.25">
      <c r="A2294" s="20">
        <v>95549</v>
      </c>
      <c r="B2294" s="21">
        <v>1</v>
      </c>
    </row>
    <row r="2295" spans="1:2" x14ac:dyDescent="0.25">
      <c r="A2295" s="20">
        <v>95550</v>
      </c>
      <c r="B2295" s="21">
        <v>2</v>
      </c>
    </row>
    <row r="2296" spans="1:2" x14ac:dyDescent="0.25">
      <c r="A2296" s="20">
        <v>95551</v>
      </c>
      <c r="B2296" s="21">
        <v>1</v>
      </c>
    </row>
    <row r="2297" spans="1:2" x14ac:dyDescent="0.25">
      <c r="A2297" s="20">
        <v>95552</v>
      </c>
      <c r="B2297" s="21">
        <v>2</v>
      </c>
    </row>
    <row r="2298" spans="1:2" x14ac:dyDescent="0.25">
      <c r="A2298" s="20">
        <v>95553</v>
      </c>
      <c r="B2298" s="21">
        <v>1</v>
      </c>
    </row>
    <row r="2299" spans="1:2" x14ac:dyDescent="0.25">
      <c r="A2299" s="20">
        <v>95554</v>
      </c>
      <c r="B2299" s="21">
        <v>2</v>
      </c>
    </row>
    <row r="2300" spans="1:2" x14ac:dyDescent="0.25">
      <c r="A2300" s="20">
        <v>95555</v>
      </c>
      <c r="B2300" s="21">
        <v>1</v>
      </c>
    </row>
    <row r="2301" spans="1:2" x14ac:dyDescent="0.25">
      <c r="A2301" s="20">
        <v>95556</v>
      </c>
      <c r="B2301" s="21">
        <v>2</v>
      </c>
    </row>
    <row r="2302" spans="1:2" x14ac:dyDescent="0.25">
      <c r="A2302" s="20">
        <v>95558</v>
      </c>
      <c r="B2302" s="21">
        <v>1</v>
      </c>
    </row>
    <row r="2303" spans="1:2" x14ac:dyDescent="0.25">
      <c r="A2303" s="20">
        <v>95559</v>
      </c>
      <c r="B2303" s="21">
        <v>2</v>
      </c>
    </row>
    <row r="2304" spans="1:2" x14ac:dyDescent="0.25">
      <c r="A2304" s="20">
        <v>95560</v>
      </c>
      <c r="B2304" s="21">
        <v>2</v>
      </c>
    </row>
    <row r="2305" spans="1:2" x14ac:dyDescent="0.25">
      <c r="A2305" s="20">
        <v>95562</v>
      </c>
      <c r="B2305" s="21">
        <v>1</v>
      </c>
    </row>
    <row r="2306" spans="1:2" x14ac:dyDescent="0.25">
      <c r="A2306" s="20">
        <v>95563</v>
      </c>
      <c r="B2306" s="21">
        <v>16</v>
      </c>
    </row>
    <row r="2307" spans="1:2" x14ac:dyDescent="0.25">
      <c r="A2307" s="20">
        <v>95564</v>
      </c>
      <c r="B2307" s="21">
        <v>1</v>
      </c>
    </row>
    <row r="2308" spans="1:2" x14ac:dyDescent="0.25">
      <c r="A2308" s="20">
        <v>95565</v>
      </c>
      <c r="B2308" s="21">
        <v>1</v>
      </c>
    </row>
    <row r="2309" spans="1:2" x14ac:dyDescent="0.25">
      <c r="A2309" s="20">
        <v>95567</v>
      </c>
      <c r="B2309" s="21">
        <v>1</v>
      </c>
    </row>
    <row r="2310" spans="1:2" x14ac:dyDescent="0.25">
      <c r="A2310" s="20">
        <v>95568</v>
      </c>
      <c r="B2310" s="21">
        <v>16</v>
      </c>
    </row>
    <row r="2311" spans="1:2" x14ac:dyDescent="0.25">
      <c r="A2311" s="20">
        <v>95569</v>
      </c>
      <c r="B2311" s="21">
        <v>2</v>
      </c>
    </row>
    <row r="2312" spans="1:2" x14ac:dyDescent="0.25">
      <c r="A2312" s="20">
        <v>95570</v>
      </c>
      <c r="B2312" s="21">
        <v>1</v>
      </c>
    </row>
    <row r="2313" spans="1:2" x14ac:dyDescent="0.25">
      <c r="A2313" s="20">
        <v>95571</v>
      </c>
      <c r="B2313" s="21">
        <v>1</v>
      </c>
    </row>
    <row r="2314" spans="1:2" x14ac:dyDescent="0.25">
      <c r="A2314" s="20">
        <v>95573</v>
      </c>
      <c r="B2314" s="21">
        <v>2</v>
      </c>
    </row>
    <row r="2315" spans="1:2" x14ac:dyDescent="0.25">
      <c r="A2315" s="20">
        <v>95585</v>
      </c>
      <c r="B2315" s="21">
        <v>1</v>
      </c>
    </row>
    <row r="2316" spans="1:2" x14ac:dyDescent="0.25">
      <c r="A2316" s="20">
        <v>95587</v>
      </c>
      <c r="B2316" s="21">
        <v>2</v>
      </c>
    </row>
    <row r="2317" spans="1:2" x14ac:dyDescent="0.25">
      <c r="A2317" s="20">
        <v>95589</v>
      </c>
      <c r="B2317" s="21">
        <v>1</v>
      </c>
    </row>
    <row r="2318" spans="1:2" x14ac:dyDescent="0.25">
      <c r="A2318" s="20">
        <v>95595</v>
      </c>
      <c r="B2318" s="21">
        <v>2</v>
      </c>
    </row>
    <row r="2319" spans="1:2" x14ac:dyDescent="0.25">
      <c r="A2319" s="20">
        <v>95601</v>
      </c>
      <c r="B2319" s="21">
        <v>12</v>
      </c>
    </row>
    <row r="2320" spans="1:2" x14ac:dyDescent="0.25">
      <c r="A2320" s="20">
        <v>95602</v>
      </c>
      <c r="B2320" s="21">
        <v>11</v>
      </c>
    </row>
    <row r="2321" spans="1:2" x14ac:dyDescent="0.25">
      <c r="A2321" s="20">
        <v>95603</v>
      </c>
      <c r="B2321" s="21">
        <v>11</v>
      </c>
    </row>
    <row r="2322" spans="1:2" x14ac:dyDescent="0.25">
      <c r="A2322" s="20">
        <v>95604</v>
      </c>
      <c r="B2322" s="21">
        <v>11</v>
      </c>
    </row>
    <row r="2323" spans="1:2" x14ac:dyDescent="0.25">
      <c r="A2323" s="20">
        <v>95605</v>
      </c>
      <c r="B2323" s="21">
        <v>12</v>
      </c>
    </row>
    <row r="2324" spans="1:2" x14ac:dyDescent="0.25">
      <c r="A2324" s="20">
        <v>95606</v>
      </c>
      <c r="B2324" s="21">
        <v>12</v>
      </c>
    </row>
    <row r="2325" spans="1:2" x14ac:dyDescent="0.25">
      <c r="A2325" s="20">
        <v>95607</v>
      </c>
      <c r="B2325" s="21">
        <v>12</v>
      </c>
    </row>
    <row r="2326" spans="1:2" x14ac:dyDescent="0.25">
      <c r="A2326" s="20">
        <v>95608</v>
      </c>
      <c r="B2326" s="21">
        <v>12</v>
      </c>
    </row>
    <row r="2327" spans="1:2" x14ac:dyDescent="0.25">
      <c r="A2327" s="20">
        <v>95609</v>
      </c>
      <c r="B2327" s="21">
        <v>12</v>
      </c>
    </row>
    <row r="2328" spans="1:2" x14ac:dyDescent="0.25">
      <c r="A2328" s="20">
        <v>95610</v>
      </c>
      <c r="B2328" s="21">
        <v>12</v>
      </c>
    </row>
    <row r="2329" spans="1:2" x14ac:dyDescent="0.25">
      <c r="A2329" s="20">
        <v>95611</v>
      </c>
      <c r="B2329" s="21">
        <v>12</v>
      </c>
    </row>
    <row r="2330" spans="1:2" x14ac:dyDescent="0.25">
      <c r="A2330" s="20">
        <v>95612</v>
      </c>
      <c r="B2330" s="21">
        <v>12</v>
      </c>
    </row>
    <row r="2331" spans="1:2" x14ac:dyDescent="0.25">
      <c r="A2331" s="20">
        <v>95613</v>
      </c>
      <c r="B2331" s="21">
        <v>12</v>
      </c>
    </row>
    <row r="2332" spans="1:2" x14ac:dyDescent="0.25">
      <c r="A2332" s="20">
        <v>95614</v>
      </c>
      <c r="B2332" s="21">
        <v>12</v>
      </c>
    </row>
    <row r="2333" spans="1:2" x14ac:dyDescent="0.25">
      <c r="A2333" s="20">
        <v>95615</v>
      </c>
      <c r="B2333" s="21">
        <v>12</v>
      </c>
    </row>
    <row r="2334" spans="1:2" x14ac:dyDescent="0.25">
      <c r="A2334" s="20">
        <v>95616</v>
      </c>
      <c r="B2334" s="21">
        <v>12</v>
      </c>
    </row>
    <row r="2335" spans="1:2" x14ac:dyDescent="0.25">
      <c r="A2335" s="20">
        <v>95617</v>
      </c>
      <c r="B2335" s="21">
        <v>12</v>
      </c>
    </row>
    <row r="2336" spans="1:2" x14ac:dyDescent="0.25">
      <c r="A2336" s="20">
        <v>95618</v>
      </c>
      <c r="B2336" s="21">
        <v>12</v>
      </c>
    </row>
    <row r="2337" spans="1:2" x14ac:dyDescent="0.25">
      <c r="A2337" s="20">
        <v>95619</v>
      </c>
      <c r="B2337" s="21">
        <v>12</v>
      </c>
    </row>
    <row r="2338" spans="1:2" x14ac:dyDescent="0.25">
      <c r="A2338" s="20">
        <v>95620</v>
      </c>
      <c r="B2338" s="21">
        <v>12</v>
      </c>
    </row>
    <row r="2339" spans="1:2" x14ac:dyDescent="0.25">
      <c r="A2339" s="20">
        <v>95621</v>
      </c>
      <c r="B2339" s="21">
        <v>12</v>
      </c>
    </row>
    <row r="2340" spans="1:2" x14ac:dyDescent="0.25">
      <c r="A2340" s="20">
        <v>95623</v>
      </c>
      <c r="B2340" s="21">
        <v>12</v>
      </c>
    </row>
    <row r="2341" spans="1:2" x14ac:dyDescent="0.25">
      <c r="A2341" s="20">
        <v>95624</v>
      </c>
      <c r="B2341" s="21">
        <v>12</v>
      </c>
    </row>
    <row r="2342" spans="1:2" x14ac:dyDescent="0.25">
      <c r="A2342" s="20">
        <v>95625</v>
      </c>
      <c r="B2342" s="21">
        <v>12</v>
      </c>
    </row>
    <row r="2343" spans="1:2" x14ac:dyDescent="0.25">
      <c r="A2343" s="20">
        <v>95626</v>
      </c>
      <c r="B2343" s="21">
        <v>12</v>
      </c>
    </row>
    <row r="2344" spans="1:2" x14ac:dyDescent="0.25">
      <c r="A2344" s="20">
        <v>95627</v>
      </c>
      <c r="B2344" s="21">
        <v>12</v>
      </c>
    </row>
    <row r="2345" spans="1:2" x14ac:dyDescent="0.25">
      <c r="A2345" s="20">
        <v>95628</v>
      </c>
      <c r="B2345" s="21">
        <v>12</v>
      </c>
    </row>
    <row r="2346" spans="1:2" x14ac:dyDescent="0.25">
      <c r="A2346" s="20">
        <v>95629</v>
      </c>
      <c r="B2346" s="21">
        <v>12</v>
      </c>
    </row>
    <row r="2347" spans="1:2" x14ac:dyDescent="0.25">
      <c r="A2347" s="20">
        <v>95630</v>
      </c>
      <c r="B2347" s="21">
        <v>12</v>
      </c>
    </row>
    <row r="2348" spans="1:2" x14ac:dyDescent="0.25">
      <c r="A2348" s="20">
        <v>95631</v>
      </c>
      <c r="B2348" s="21">
        <v>16</v>
      </c>
    </row>
    <row r="2349" spans="1:2" x14ac:dyDescent="0.25">
      <c r="A2349" s="20">
        <v>95632</v>
      </c>
      <c r="B2349" s="21">
        <v>12</v>
      </c>
    </row>
    <row r="2350" spans="1:2" x14ac:dyDescent="0.25">
      <c r="A2350" s="20">
        <v>95633</v>
      </c>
      <c r="B2350" s="21">
        <v>12</v>
      </c>
    </row>
    <row r="2351" spans="1:2" x14ac:dyDescent="0.25">
      <c r="A2351" s="20">
        <v>95634</v>
      </c>
      <c r="B2351" s="21">
        <v>12</v>
      </c>
    </row>
    <row r="2352" spans="1:2" x14ac:dyDescent="0.25">
      <c r="A2352" s="20">
        <v>95635</v>
      </c>
      <c r="B2352" s="21">
        <v>12</v>
      </c>
    </row>
    <row r="2353" spans="1:2" x14ac:dyDescent="0.25">
      <c r="A2353" s="20">
        <v>95636</v>
      </c>
      <c r="B2353" s="21">
        <v>16</v>
      </c>
    </row>
    <row r="2354" spans="1:2" x14ac:dyDescent="0.25">
      <c r="A2354" s="20">
        <v>95637</v>
      </c>
      <c r="B2354" s="21">
        <v>12</v>
      </c>
    </row>
    <row r="2355" spans="1:2" x14ac:dyDescent="0.25">
      <c r="A2355" s="20">
        <v>95638</v>
      </c>
      <c r="B2355" s="21">
        <v>12</v>
      </c>
    </row>
    <row r="2356" spans="1:2" x14ac:dyDescent="0.25">
      <c r="A2356" s="20">
        <v>95639</v>
      </c>
      <c r="B2356" s="21">
        <v>12</v>
      </c>
    </row>
    <row r="2357" spans="1:2" x14ac:dyDescent="0.25">
      <c r="A2357" s="20">
        <v>95640</v>
      </c>
      <c r="B2357" s="21">
        <v>12</v>
      </c>
    </row>
    <row r="2358" spans="1:2" x14ac:dyDescent="0.25">
      <c r="A2358" s="20">
        <v>95641</v>
      </c>
      <c r="B2358" s="21">
        <v>12</v>
      </c>
    </row>
    <row r="2359" spans="1:2" x14ac:dyDescent="0.25">
      <c r="A2359" s="20">
        <v>95642</v>
      </c>
      <c r="B2359" s="21">
        <v>12</v>
      </c>
    </row>
    <row r="2360" spans="1:2" x14ac:dyDescent="0.25">
      <c r="A2360" s="20">
        <v>95644</v>
      </c>
      <c r="B2360" s="21">
        <v>12</v>
      </c>
    </row>
    <row r="2361" spans="1:2" x14ac:dyDescent="0.25">
      <c r="A2361" s="20">
        <v>95645</v>
      </c>
      <c r="B2361" s="21">
        <v>11</v>
      </c>
    </row>
    <row r="2362" spans="1:2" x14ac:dyDescent="0.25">
      <c r="A2362" s="20">
        <v>95646</v>
      </c>
      <c r="B2362" s="21">
        <v>16</v>
      </c>
    </row>
    <row r="2363" spans="1:2" x14ac:dyDescent="0.25">
      <c r="A2363" s="20">
        <v>95648</v>
      </c>
      <c r="B2363" s="21">
        <v>11</v>
      </c>
    </row>
    <row r="2364" spans="1:2" x14ac:dyDescent="0.25">
      <c r="A2364" s="20">
        <v>95650</v>
      </c>
      <c r="B2364" s="21">
        <v>11</v>
      </c>
    </row>
    <row r="2365" spans="1:2" x14ac:dyDescent="0.25">
      <c r="A2365" s="20">
        <v>95651</v>
      </c>
      <c r="B2365" s="21">
        <v>12</v>
      </c>
    </row>
    <row r="2366" spans="1:2" x14ac:dyDescent="0.25">
      <c r="A2366" s="20">
        <v>95652</v>
      </c>
      <c r="B2366" s="21">
        <v>12</v>
      </c>
    </row>
    <row r="2367" spans="1:2" x14ac:dyDescent="0.25">
      <c r="A2367" s="20">
        <v>95653</v>
      </c>
      <c r="B2367" s="21">
        <v>12</v>
      </c>
    </row>
    <row r="2368" spans="1:2" x14ac:dyDescent="0.25">
      <c r="A2368" s="20">
        <v>95654</v>
      </c>
      <c r="B2368" s="21">
        <v>12</v>
      </c>
    </row>
    <row r="2369" spans="1:2" x14ac:dyDescent="0.25">
      <c r="A2369" s="20">
        <v>95655</v>
      </c>
      <c r="B2369" s="21">
        <v>12</v>
      </c>
    </row>
    <row r="2370" spans="1:2" x14ac:dyDescent="0.25">
      <c r="A2370" s="20">
        <v>95656</v>
      </c>
      <c r="B2370" s="21">
        <v>12</v>
      </c>
    </row>
    <row r="2371" spans="1:2" x14ac:dyDescent="0.25">
      <c r="A2371" s="20">
        <v>95658</v>
      </c>
      <c r="B2371" s="21">
        <v>11</v>
      </c>
    </row>
    <row r="2372" spans="1:2" x14ac:dyDescent="0.25">
      <c r="A2372" s="20">
        <v>95659</v>
      </c>
      <c r="B2372" s="21">
        <v>11</v>
      </c>
    </row>
    <row r="2373" spans="1:2" x14ac:dyDescent="0.25">
      <c r="A2373" s="20">
        <v>95660</v>
      </c>
      <c r="B2373" s="21">
        <v>12</v>
      </c>
    </row>
    <row r="2374" spans="1:2" x14ac:dyDescent="0.25">
      <c r="A2374" s="20">
        <v>95661</v>
      </c>
      <c r="B2374" s="21">
        <v>11</v>
      </c>
    </row>
    <row r="2375" spans="1:2" x14ac:dyDescent="0.25">
      <c r="A2375" s="20">
        <v>95662</v>
      </c>
      <c r="B2375" s="21">
        <v>12</v>
      </c>
    </row>
    <row r="2376" spans="1:2" x14ac:dyDescent="0.25">
      <c r="A2376" s="20">
        <v>95663</v>
      </c>
      <c r="B2376" s="21">
        <v>11</v>
      </c>
    </row>
    <row r="2377" spans="1:2" x14ac:dyDescent="0.25">
      <c r="A2377" s="20">
        <v>95664</v>
      </c>
      <c r="B2377" s="21">
        <v>12</v>
      </c>
    </row>
    <row r="2378" spans="1:2" x14ac:dyDescent="0.25">
      <c r="A2378" s="20">
        <v>95665</v>
      </c>
      <c r="B2378" s="21">
        <v>12</v>
      </c>
    </row>
    <row r="2379" spans="1:2" x14ac:dyDescent="0.25">
      <c r="A2379" s="20">
        <v>95666</v>
      </c>
      <c r="B2379" s="21">
        <v>16</v>
      </c>
    </row>
    <row r="2380" spans="1:2" x14ac:dyDescent="0.25">
      <c r="A2380" s="20">
        <v>95667</v>
      </c>
      <c r="B2380" s="21">
        <v>12</v>
      </c>
    </row>
    <row r="2381" spans="1:2" x14ac:dyDescent="0.25">
      <c r="A2381" s="20">
        <v>95668</v>
      </c>
      <c r="B2381" s="21">
        <v>11</v>
      </c>
    </row>
    <row r="2382" spans="1:2" x14ac:dyDescent="0.25">
      <c r="A2382" s="20">
        <v>95669</v>
      </c>
      <c r="B2382" s="21">
        <v>12</v>
      </c>
    </row>
    <row r="2383" spans="1:2" x14ac:dyDescent="0.25">
      <c r="A2383" s="20">
        <v>95670</v>
      </c>
      <c r="B2383" s="21">
        <v>12</v>
      </c>
    </row>
    <row r="2384" spans="1:2" x14ac:dyDescent="0.25">
      <c r="A2384" s="20">
        <v>95671</v>
      </c>
      <c r="B2384" s="21">
        <v>12</v>
      </c>
    </row>
    <row r="2385" spans="1:2" x14ac:dyDescent="0.25">
      <c r="A2385" s="20">
        <v>95672</v>
      </c>
      <c r="B2385" s="21">
        <v>12</v>
      </c>
    </row>
    <row r="2386" spans="1:2" x14ac:dyDescent="0.25">
      <c r="A2386" s="20">
        <v>95673</v>
      </c>
      <c r="B2386" s="21">
        <v>12</v>
      </c>
    </row>
    <row r="2387" spans="1:2" x14ac:dyDescent="0.25">
      <c r="A2387" s="20">
        <v>95674</v>
      </c>
      <c r="B2387" s="21">
        <v>11</v>
      </c>
    </row>
    <row r="2388" spans="1:2" x14ac:dyDescent="0.25">
      <c r="A2388" s="20">
        <v>95675</v>
      </c>
      <c r="B2388" s="21">
        <v>12</v>
      </c>
    </row>
    <row r="2389" spans="1:2" x14ac:dyDescent="0.25">
      <c r="A2389" s="20">
        <v>95676</v>
      </c>
      <c r="B2389" s="21">
        <v>11</v>
      </c>
    </row>
    <row r="2390" spans="1:2" x14ac:dyDescent="0.25">
      <c r="A2390" s="20">
        <v>95677</v>
      </c>
      <c r="B2390" s="21">
        <v>11</v>
      </c>
    </row>
    <row r="2391" spans="1:2" x14ac:dyDescent="0.25">
      <c r="A2391" s="20">
        <v>95678</v>
      </c>
      <c r="B2391" s="21">
        <v>11</v>
      </c>
    </row>
    <row r="2392" spans="1:2" x14ac:dyDescent="0.25">
      <c r="A2392" s="20">
        <v>95679</v>
      </c>
      <c r="B2392" s="21">
        <v>12</v>
      </c>
    </row>
    <row r="2393" spans="1:2" x14ac:dyDescent="0.25">
      <c r="A2393" s="20">
        <v>95680</v>
      </c>
      <c r="B2393" s="21">
        <v>12</v>
      </c>
    </row>
    <row r="2394" spans="1:2" x14ac:dyDescent="0.25">
      <c r="A2394" s="20">
        <v>95681</v>
      </c>
      <c r="B2394" s="21">
        <v>11</v>
      </c>
    </row>
    <row r="2395" spans="1:2" x14ac:dyDescent="0.25">
      <c r="A2395" s="20">
        <v>95682</v>
      </c>
      <c r="B2395" s="21">
        <v>12</v>
      </c>
    </row>
    <row r="2396" spans="1:2" x14ac:dyDescent="0.25">
      <c r="A2396" s="20">
        <v>95683</v>
      </c>
      <c r="B2396" s="21">
        <v>12</v>
      </c>
    </row>
    <row r="2397" spans="1:2" x14ac:dyDescent="0.25">
      <c r="A2397" s="20">
        <v>95684</v>
      </c>
      <c r="B2397" s="21">
        <v>12</v>
      </c>
    </row>
    <row r="2398" spans="1:2" x14ac:dyDescent="0.25">
      <c r="A2398" s="20">
        <v>95685</v>
      </c>
      <c r="B2398" s="21">
        <v>12</v>
      </c>
    </row>
    <row r="2399" spans="1:2" x14ac:dyDescent="0.25">
      <c r="A2399" s="20">
        <v>95686</v>
      </c>
      <c r="B2399" s="21">
        <v>12</v>
      </c>
    </row>
    <row r="2400" spans="1:2" x14ac:dyDescent="0.25">
      <c r="A2400" s="20">
        <v>95687</v>
      </c>
      <c r="B2400" s="21">
        <v>12</v>
      </c>
    </row>
    <row r="2401" spans="1:2" x14ac:dyDescent="0.25">
      <c r="A2401" s="20">
        <v>95688</v>
      </c>
      <c r="B2401" s="21">
        <v>12</v>
      </c>
    </row>
    <row r="2402" spans="1:2" x14ac:dyDescent="0.25">
      <c r="A2402" s="20">
        <v>95689</v>
      </c>
      <c r="B2402" s="21">
        <v>12</v>
      </c>
    </row>
    <row r="2403" spans="1:2" x14ac:dyDescent="0.25">
      <c r="A2403" s="20">
        <v>95690</v>
      </c>
      <c r="B2403" s="21">
        <v>12</v>
      </c>
    </row>
    <row r="2404" spans="1:2" x14ac:dyDescent="0.25">
      <c r="A2404" s="20">
        <v>95691</v>
      </c>
      <c r="B2404" s="21">
        <v>12</v>
      </c>
    </row>
    <row r="2405" spans="1:2" x14ac:dyDescent="0.25">
      <c r="A2405" s="20">
        <v>95692</v>
      </c>
      <c r="B2405" s="21">
        <v>11</v>
      </c>
    </row>
    <row r="2406" spans="1:2" x14ac:dyDescent="0.25">
      <c r="A2406" s="20">
        <v>95693</v>
      </c>
      <c r="B2406" s="21">
        <v>12</v>
      </c>
    </row>
    <row r="2407" spans="1:2" x14ac:dyDescent="0.25">
      <c r="A2407" s="20">
        <v>95694</v>
      </c>
      <c r="B2407" s="21">
        <v>12</v>
      </c>
    </row>
    <row r="2408" spans="1:2" x14ac:dyDescent="0.25">
      <c r="A2408" s="20">
        <v>95695</v>
      </c>
      <c r="B2408" s="21">
        <v>12</v>
      </c>
    </row>
    <row r="2409" spans="1:2" x14ac:dyDescent="0.25">
      <c r="A2409" s="20">
        <v>95696</v>
      </c>
      <c r="B2409" s="21">
        <v>12</v>
      </c>
    </row>
    <row r="2410" spans="1:2" x14ac:dyDescent="0.25">
      <c r="A2410" s="20">
        <v>95697</v>
      </c>
      <c r="B2410" s="21">
        <v>12</v>
      </c>
    </row>
    <row r="2411" spans="1:2" x14ac:dyDescent="0.25">
      <c r="A2411" s="20">
        <v>95698</v>
      </c>
      <c r="B2411" s="21">
        <v>12</v>
      </c>
    </row>
    <row r="2412" spans="1:2" x14ac:dyDescent="0.25">
      <c r="A2412" s="20">
        <v>95699</v>
      </c>
      <c r="B2412" s="21">
        <v>12</v>
      </c>
    </row>
    <row r="2413" spans="1:2" x14ac:dyDescent="0.25">
      <c r="A2413" s="20">
        <v>95701</v>
      </c>
      <c r="B2413" s="21">
        <v>16</v>
      </c>
    </row>
    <row r="2414" spans="1:2" x14ac:dyDescent="0.25">
      <c r="A2414" s="20">
        <v>95703</v>
      </c>
      <c r="B2414" s="21">
        <v>11</v>
      </c>
    </row>
    <row r="2415" spans="1:2" x14ac:dyDescent="0.25">
      <c r="A2415" s="20">
        <v>95709</v>
      </c>
      <c r="B2415" s="21">
        <v>12</v>
      </c>
    </row>
    <row r="2416" spans="1:2" x14ac:dyDescent="0.25">
      <c r="A2416" s="20">
        <v>95712</v>
      </c>
      <c r="B2416" s="21">
        <v>11</v>
      </c>
    </row>
    <row r="2417" spans="1:2" x14ac:dyDescent="0.25">
      <c r="A2417" s="20">
        <v>95713</v>
      </c>
      <c r="B2417" s="21">
        <v>11</v>
      </c>
    </row>
    <row r="2418" spans="1:2" x14ac:dyDescent="0.25">
      <c r="A2418" s="20">
        <v>95714</v>
      </c>
      <c r="B2418" s="21">
        <v>16</v>
      </c>
    </row>
    <row r="2419" spans="1:2" x14ac:dyDescent="0.25">
      <c r="A2419" s="20">
        <v>95715</v>
      </c>
      <c r="B2419" s="21">
        <v>16</v>
      </c>
    </row>
    <row r="2420" spans="1:2" x14ac:dyDescent="0.25">
      <c r="A2420" s="20">
        <v>95717</v>
      </c>
      <c r="B2420" s="21">
        <v>16</v>
      </c>
    </row>
    <row r="2421" spans="1:2" x14ac:dyDescent="0.25">
      <c r="A2421" s="20">
        <v>95720</v>
      </c>
      <c r="B2421" s="21">
        <v>16</v>
      </c>
    </row>
    <row r="2422" spans="1:2" x14ac:dyDescent="0.25">
      <c r="A2422" s="20">
        <v>95721</v>
      </c>
      <c r="B2422" s="21">
        <v>16</v>
      </c>
    </row>
    <row r="2423" spans="1:2" x14ac:dyDescent="0.25">
      <c r="A2423" s="20">
        <v>95722</v>
      </c>
      <c r="B2423" s="21">
        <v>11</v>
      </c>
    </row>
    <row r="2424" spans="1:2" x14ac:dyDescent="0.25">
      <c r="A2424" s="20">
        <v>95724</v>
      </c>
      <c r="B2424" s="21">
        <v>16</v>
      </c>
    </row>
    <row r="2425" spans="1:2" x14ac:dyDescent="0.25">
      <c r="A2425" s="20">
        <v>95726</v>
      </c>
      <c r="B2425" s="21">
        <v>16</v>
      </c>
    </row>
    <row r="2426" spans="1:2" x14ac:dyDescent="0.25">
      <c r="A2426" s="20">
        <v>95728</v>
      </c>
      <c r="B2426" s="21">
        <v>16</v>
      </c>
    </row>
    <row r="2427" spans="1:2" x14ac:dyDescent="0.25">
      <c r="A2427" s="20">
        <v>95735</v>
      </c>
      <c r="B2427" s="21">
        <v>16</v>
      </c>
    </row>
    <row r="2428" spans="1:2" x14ac:dyDescent="0.25">
      <c r="A2428" s="20">
        <v>95736</v>
      </c>
      <c r="B2428" s="21">
        <v>11</v>
      </c>
    </row>
    <row r="2429" spans="1:2" x14ac:dyDescent="0.25">
      <c r="A2429" s="20">
        <v>95741</v>
      </c>
      <c r="B2429" s="21">
        <v>12</v>
      </c>
    </row>
    <row r="2430" spans="1:2" x14ac:dyDescent="0.25">
      <c r="A2430" s="20">
        <v>95742</v>
      </c>
      <c r="B2430" s="21">
        <v>12</v>
      </c>
    </row>
    <row r="2431" spans="1:2" x14ac:dyDescent="0.25">
      <c r="A2431" s="20">
        <v>95743</v>
      </c>
      <c r="B2431" s="21">
        <v>12</v>
      </c>
    </row>
    <row r="2432" spans="1:2" x14ac:dyDescent="0.25">
      <c r="A2432" s="20">
        <v>95746</v>
      </c>
      <c r="B2432" s="21">
        <v>11</v>
      </c>
    </row>
    <row r="2433" spans="1:2" x14ac:dyDescent="0.25">
      <c r="A2433" s="20">
        <v>95747</v>
      </c>
      <c r="B2433" s="21">
        <v>11</v>
      </c>
    </row>
    <row r="2434" spans="1:2" x14ac:dyDescent="0.25">
      <c r="A2434" s="20">
        <v>95757</v>
      </c>
      <c r="B2434" s="21">
        <v>12</v>
      </c>
    </row>
    <row r="2435" spans="1:2" x14ac:dyDescent="0.25">
      <c r="A2435" s="20">
        <v>95758</v>
      </c>
      <c r="B2435" s="21">
        <v>12</v>
      </c>
    </row>
    <row r="2436" spans="1:2" x14ac:dyDescent="0.25">
      <c r="A2436" s="20">
        <v>95759</v>
      </c>
      <c r="B2436" s="21">
        <v>12</v>
      </c>
    </row>
    <row r="2437" spans="1:2" x14ac:dyDescent="0.25">
      <c r="A2437" s="20">
        <v>95762</v>
      </c>
      <c r="B2437" s="21">
        <v>12</v>
      </c>
    </row>
    <row r="2438" spans="1:2" x14ac:dyDescent="0.25">
      <c r="A2438" s="20">
        <v>95763</v>
      </c>
      <c r="B2438" s="21">
        <v>12</v>
      </c>
    </row>
    <row r="2439" spans="1:2" x14ac:dyDescent="0.25">
      <c r="A2439" s="20">
        <v>95765</v>
      </c>
      <c r="B2439" s="21">
        <v>11</v>
      </c>
    </row>
    <row r="2440" spans="1:2" x14ac:dyDescent="0.25">
      <c r="A2440" s="20">
        <v>95776</v>
      </c>
      <c r="B2440" s="21">
        <v>12</v>
      </c>
    </row>
    <row r="2441" spans="1:2" x14ac:dyDescent="0.25">
      <c r="A2441" s="20">
        <v>95798</v>
      </c>
      <c r="B2441" s="21">
        <v>12</v>
      </c>
    </row>
    <row r="2442" spans="1:2" x14ac:dyDescent="0.25">
      <c r="A2442" s="20">
        <v>95799</v>
      </c>
      <c r="B2442" s="21">
        <v>12</v>
      </c>
    </row>
    <row r="2443" spans="1:2" x14ac:dyDescent="0.25">
      <c r="A2443" s="20">
        <v>95811</v>
      </c>
      <c r="B2443" s="21">
        <v>12</v>
      </c>
    </row>
    <row r="2444" spans="1:2" x14ac:dyDescent="0.25">
      <c r="A2444" s="20">
        <v>95812</v>
      </c>
      <c r="B2444" s="21">
        <v>12</v>
      </c>
    </row>
    <row r="2445" spans="1:2" x14ac:dyDescent="0.25">
      <c r="A2445" s="20">
        <v>95813</v>
      </c>
      <c r="B2445" s="21">
        <v>12</v>
      </c>
    </row>
    <row r="2446" spans="1:2" x14ac:dyDescent="0.25">
      <c r="A2446" s="20">
        <v>95814</v>
      </c>
      <c r="B2446" s="21">
        <v>12</v>
      </c>
    </row>
    <row r="2447" spans="1:2" x14ac:dyDescent="0.25">
      <c r="A2447" s="20">
        <v>95815</v>
      </c>
      <c r="B2447" s="21">
        <v>12</v>
      </c>
    </row>
    <row r="2448" spans="1:2" x14ac:dyDescent="0.25">
      <c r="A2448" s="20">
        <v>95816</v>
      </c>
      <c r="B2448" s="21">
        <v>12</v>
      </c>
    </row>
    <row r="2449" spans="1:2" x14ac:dyDescent="0.25">
      <c r="A2449" s="20">
        <v>95817</v>
      </c>
      <c r="B2449" s="21">
        <v>12</v>
      </c>
    </row>
    <row r="2450" spans="1:2" x14ac:dyDescent="0.25">
      <c r="A2450" s="20">
        <v>95818</v>
      </c>
      <c r="B2450" s="21">
        <v>12</v>
      </c>
    </row>
    <row r="2451" spans="1:2" x14ac:dyDescent="0.25">
      <c r="A2451" s="20">
        <v>95819</v>
      </c>
      <c r="B2451" s="21">
        <v>12</v>
      </c>
    </row>
    <row r="2452" spans="1:2" x14ac:dyDescent="0.25">
      <c r="A2452" s="20">
        <v>95820</v>
      </c>
      <c r="B2452" s="21">
        <v>12</v>
      </c>
    </row>
    <row r="2453" spans="1:2" x14ac:dyDescent="0.25">
      <c r="A2453" s="20">
        <v>95821</v>
      </c>
      <c r="B2453" s="21">
        <v>12</v>
      </c>
    </row>
    <row r="2454" spans="1:2" x14ac:dyDescent="0.25">
      <c r="A2454" s="20">
        <v>95822</v>
      </c>
      <c r="B2454" s="21">
        <v>12</v>
      </c>
    </row>
    <row r="2455" spans="1:2" x14ac:dyDescent="0.25">
      <c r="A2455" s="20">
        <v>95823</v>
      </c>
      <c r="B2455" s="21">
        <v>12</v>
      </c>
    </row>
    <row r="2456" spans="1:2" x14ac:dyDescent="0.25">
      <c r="A2456" s="20">
        <v>95824</v>
      </c>
      <c r="B2456" s="21">
        <v>12</v>
      </c>
    </row>
    <row r="2457" spans="1:2" x14ac:dyDescent="0.25">
      <c r="A2457" s="20">
        <v>95825</v>
      </c>
      <c r="B2457" s="21">
        <v>12</v>
      </c>
    </row>
    <row r="2458" spans="1:2" x14ac:dyDescent="0.25">
      <c r="A2458" s="20">
        <v>95826</v>
      </c>
      <c r="B2458" s="21">
        <v>12</v>
      </c>
    </row>
    <row r="2459" spans="1:2" x14ac:dyDescent="0.25">
      <c r="A2459" s="20">
        <v>95827</v>
      </c>
      <c r="B2459" s="21">
        <v>12</v>
      </c>
    </row>
    <row r="2460" spans="1:2" x14ac:dyDescent="0.25">
      <c r="A2460" s="20">
        <v>95828</v>
      </c>
      <c r="B2460" s="21">
        <v>12</v>
      </c>
    </row>
    <row r="2461" spans="1:2" x14ac:dyDescent="0.25">
      <c r="A2461" s="20">
        <v>95829</v>
      </c>
      <c r="B2461" s="21">
        <v>12</v>
      </c>
    </row>
    <row r="2462" spans="1:2" x14ac:dyDescent="0.25">
      <c r="A2462" s="20">
        <v>95830</v>
      </c>
      <c r="B2462" s="21">
        <v>12</v>
      </c>
    </row>
    <row r="2463" spans="1:2" x14ac:dyDescent="0.25">
      <c r="A2463" s="20">
        <v>95831</v>
      </c>
      <c r="B2463" s="21">
        <v>12</v>
      </c>
    </row>
    <row r="2464" spans="1:2" x14ac:dyDescent="0.25">
      <c r="A2464" s="20">
        <v>95832</v>
      </c>
      <c r="B2464" s="21">
        <v>12</v>
      </c>
    </row>
    <row r="2465" spans="1:2" x14ac:dyDescent="0.25">
      <c r="A2465" s="20">
        <v>95833</v>
      </c>
      <c r="B2465" s="21">
        <v>12</v>
      </c>
    </row>
    <row r="2466" spans="1:2" x14ac:dyDescent="0.25">
      <c r="A2466" s="20">
        <v>95834</v>
      </c>
      <c r="B2466" s="21">
        <v>12</v>
      </c>
    </row>
    <row r="2467" spans="1:2" x14ac:dyDescent="0.25">
      <c r="A2467" s="20">
        <v>95835</v>
      </c>
      <c r="B2467" s="21">
        <v>12</v>
      </c>
    </row>
    <row r="2468" spans="1:2" x14ac:dyDescent="0.25">
      <c r="A2468" s="20">
        <v>95836</v>
      </c>
      <c r="B2468" s="21">
        <v>12</v>
      </c>
    </row>
    <row r="2469" spans="1:2" x14ac:dyDescent="0.25">
      <c r="A2469" s="20">
        <v>95837</v>
      </c>
      <c r="B2469" s="21">
        <v>12</v>
      </c>
    </row>
    <row r="2470" spans="1:2" x14ac:dyDescent="0.25">
      <c r="A2470" s="20">
        <v>95838</v>
      </c>
      <c r="B2470" s="21">
        <v>12</v>
      </c>
    </row>
    <row r="2471" spans="1:2" x14ac:dyDescent="0.25">
      <c r="A2471" s="20">
        <v>95840</v>
      </c>
      <c r="B2471" s="21">
        <v>12</v>
      </c>
    </row>
    <row r="2472" spans="1:2" x14ac:dyDescent="0.25">
      <c r="A2472" s="20">
        <v>95841</v>
      </c>
      <c r="B2472" s="21">
        <v>12</v>
      </c>
    </row>
    <row r="2473" spans="1:2" x14ac:dyDescent="0.25">
      <c r="A2473" s="20">
        <v>95842</v>
      </c>
      <c r="B2473" s="21">
        <v>12</v>
      </c>
    </row>
    <row r="2474" spans="1:2" x14ac:dyDescent="0.25">
      <c r="A2474" s="20">
        <v>95843</v>
      </c>
      <c r="B2474" s="21">
        <v>12</v>
      </c>
    </row>
    <row r="2475" spans="1:2" x14ac:dyDescent="0.25">
      <c r="A2475" s="20">
        <v>95851</v>
      </c>
      <c r="B2475" s="21">
        <v>12</v>
      </c>
    </row>
    <row r="2476" spans="1:2" x14ac:dyDescent="0.25">
      <c r="A2476" s="20">
        <v>95852</v>
      </c>
      <c r="B2476" s="21">
        <v>12</v>
      </c>
    </row>
    <row r="2477" spans="1:2" x14ac:dyDescent="0.25">
      <c r="A2477" s="20">
        <v>95853</v>
      </c>
      <c r="B2477" s="21">
        <v>12</v>
      </c>
    </row>
    <row r="2478" spans="1:2" x14ac:dyDescent="0.25">
      <c r="A2478" s="20">
        <v>95857</v>
      </c>
      <c r="B2478" s="21">
        <v>12</v>
      </c>
    </row>
    <row r="2479" spans="1:2" x14ac:dyDescent="0.25">
      <c r="A2479" s="20">
        <v>95860</v>
      </c>
      <c r="B2479" s="21">
        <v>12</v>
      </c>
    </row>
    <row r="2480" spans="1:2" x14ac:dyDescent="0.25">
      <c r="A2480" s="20">
        <v>95864</v>
      </c>
      <c r="B2480" s="21">
        <v>12</v>
      </c>
    </row>
    <row r="2481" spans="1:2" x14ac:dyDescent="0.25">
      <c r="A2481" s="20">
        <v>95865</v>
      </c>
      <c r="B2481" s="21">
        <v>12</v>
      </c>
    </row>
    <row r="2482" spans="1:2" x14ac:dyDescent="0.25">
      <c r="A2482" s="20">
        <v>95866</v>
      </c>
      <c r="B2482" s="21">
        <v>12</v>
      </c>
    </row>
    <row r="2483" spans="1:2" x14ac:dyDescent="0.25">
      <c r="A2483" s="20">
        <v>95867</v>
      </c>
      <c r="B2483" s="21">
        <v>12</v>
      </c>
    </row>
    <row r="2484" spans="1:2" x14ac:dyDescent="0.25">
      <c r="A2484" s="20">
        <v>95873</v>
      </c>
      <c r="B2484" s="21">
        <v>12</v>
      </c>
    </row>
    <row r="2485" spans="1:2" x14ac:dyDescent="0.25">
      <c r="A2485" s="20">
        <v>95887</v>
      </c>
      <c r="B2485" s="21">
        <v>12</v>
      </c>
    </row>
    <row r="2486" spans="1:2" x14ac:dyDescent="0.25">
      <c r="A2486" s="20">
        <v>95894</v>
      </c>
      <c r="B2486" s="21">
        <v>12</v>
      </c>
    </row>
    <row r="2487" spans="1:2" x14ac:dyDescent="0.25">
      <c r="A2487" s="20">
        <v>95899</v>
      </c>
      <c r="B2487" s="21">
        <v>12</v>
      </c>
    </row>
    <row r="2488" spans="1:2" x14ac:dyDescent="0.25">
      <c r="A2488" s="20">
        <v>95901</v>
      </c>
      <c r="B2488" s="21">
        <v>11</v>
      </c>
    </row>
    <row r="2489" spans="1:2" x14ac:dyDescent="0.25">
      <c r="A2489" s="20">
        <v>95903</v>
      </c>
      <c r="B2489" s="21">
        <v>11</v>
      </c>
    </row>
    <row r="2490" spans="1:2" x14ac:dyDescent="0.25">
      <c r="A2490" s="20">
        <v>95910</v>
      </c>
      <c r="B2490" s="21">
        <v>16</v>
      </c>
    </row>
    <row r="2491" spans="1:2" x14ac:dyDescent="0.25">
      <c r="A2491" s="20">
        <v>95912</v>
      </c>
      <c r="B2491" s="21">
        <v>11</v>
      </c>
    </row>
    <row r="2492" spans="1:2" x14ac:dyDescent="0.25">
      <c r="A2492" s="20">
        <v>95913</v>
      </c>
      <c r="B2492" s="21">
        <v>11</v>
      </c>
    </row>
    <row r="2493" spans="1:2" x14ac:dyDescent="0.25">
      <c r="A2493" s="20">
        <v>95914</v>
      </c>
      <c r="B2493" s="21">
        <v>11</v>
      </c>
    </row>
    <row r="2494" spans="1:2" x14ac:dyDescent="0.25">
      <c r="A2494" s="20">
        <v>95915</v>
      </c>
      <c r="B2494" s="21">
        <v>16</v>
      </c>
    </row>
    <row r="2495" spans="1:2" x14ac:dyDescent="0.25">
      <c r="A2495" s="20">
        <v>95916</v>
      </c>
      <c r="B2495" s="21">
        <v>16</v>
      </c>
    </row>
    <row r="2496" spans="1:2" x14ac:dyDescent="0.25">
      <c r="A2496" s="20">
        <v>95917</v>
      </c>
      <c r="B2496" s="21">
        <v>11</v>
      </c>
    </row>
    <row r="2497" spans="1:2" x14ac:dyDescent="0.25">
      <c r="A2497" s="20">
        <v>95918</v>
      </c>
      <c r="B2497" s="21">
        <v>11</v>
      </c>
    </row>
    <row r="2498" spans="1:2" x14ac:dyDescent="0.25">
      <c r="A2498" s="20">
        <v>95919</v>
      </c>
      <c r="B2498" s="21">
        <v>11</v>
      </c>
    </row>
    <row r="2499" spans="1:2" x14ac:dyDescent="0.25">
      <c r="A2499" s="20">
        <v>95920</v>
      </c>
      <c r="B2499" s="21">
        <v>11</v>
      </c>
    </row>
    <row r="2500" spans="1:2" x14ac:dyDescent="0.25">
      <c r="A2500" s="20">
        <v>95922</v>
      </c>
      <c r="B2500" s="21">
        <v>16</v>
      </c>
    </row>
    <row r="2501" spans="1:2" x14ac:dyDescent="0.25">
      <c r="A2501" s="20">
        <v>95923</v>
      </c>
      <c r="B2501" s="21">
        <v>16</v>
      </c>
    </row>
    <row r="2502" spans="1:2" x14ac:dyDescent="0.25">
      <c r="A2502" s="20">
        <v>95924</v>
      </c>
      <c r="B2502" s="21">
        <v>11</v>
      </c>
    </row>
    <row r="2503" spans="1:2" x14ac:dyDescent="0.25">
      <c r="A2503" s="20">
        <v>95925</v>
      </c>
      <c r="B2503" s="21">
        <v>16</v>
      </c>
    </row>
    <row r="2504" spans="1:2" x14ac:dyDescent="0.25">
      <c r="A2504" s="20">
        <v>95926</v>
      </c>
      <c r="B2504" s="21">
        <v>11</v>
      </c>
    </row>
    <row r="2505" spans="1:2" x14ac:dyDescent="0.25">
      <c r="A2505" s="20">
        <v>95927</v>
      </c>
      <c r="B2505" s="21">
        <v>11</v>
      </c>
    </row>
    <row r="2506" spans="1:2" x14ac:dyDescent="0.25">
      <c r="A2506" s="20">
        <v>95928</v>
      </c>
      <c r="B2506" s="21">
        <v>11</v>
      </c>
    </row>
    <row r="2507" spans="1:2" x14ac:dyDescent="0.25">
      <c r="A2507" s="20">
        <v>95929</v>
      </c>
      <c r="B2507" s="21">
        <v>11</v>
      </c>
    </row>
    <row r="2508" spans="1:2" x14ac:dyDescent="0.25">
      <c r="A2508" s="20">
        <v>95930</v>
      </c>
      <c r="B2508" s="21">
        <v>16</v>
      </c>
    </row>
    <row r="2509" spans="1:2" x14ac:dyDescent="0.25">
      <c r="A2509" s="20">
        <v>95931</v>
      </c>
      <c r="B2509" s="21">
        <v>11</v>
      </c>
    </row>
    <row r="2510" spans="1:2" x14ac:dyDescent="0.25">
      <c r="A2510" s="20">
        <v>95932</v>
      </c>
      <c r="B2510" s="21">
        <v>11</v>
      </c>
    </row>
    <row r="2511" spans="1:2" x14ac:dyDescent="0.25">
      <c r="A2511" s="20">
        <v>95934</v>
      </c>
      <c r="B2511" s="21">
        <v>16</v>
      </c>
    </row>
    <row r="2512" spans="1:2" x14ac:dyDescent="0.25">
      <c r="A2512" s="20">
        <v>95935</v>
      </c>
      <c r="B2512" s="21">
        <v>11</v>
      </c>
    </row>
    <row r="2513" spans="1:2" x14ac:dyDescent="0.25">
      <c r="A2513" s="20">
        <v>95936</v>
      </c>
      <c r="B2513" s="21">
        <v>16</v>
      </c>
    </row>
    <row r="2514" spans="1:2" x14ac:dyDescent="0.25">
      <c r="A2514" s="20">
        <v>95937</v>
      </c>
      <c r="B2514" s="21">
        <v>12</v>
      </c>
    </row>
    <row r="2515" spans="1:2" x14ac:dyDescent="0.25">
      <c r="A2515" s="20">
        <v>95938</v>
      </c>
      <c r="B2515" s="21">
        <v>11</v>
      </c>
    </row>
    <row r="2516" spans="1:2" x14ac:dyDescent="0.25">
      <c r="A2516" s="20">
        <v>95939</v>
      </c>
      <c r="B2516" s="21">
        <v>11</v>
      </c>
    </row>
    <row r="2517" spans="1:2" x14ac:dyDescent="0.25">
      <c r="A2517" s="20">
        <v>95940</v>
      </c>
      <c r="B2517" s="21">
        <v>11</v>
      </c>
    </row>
    <row r="2518" spans="1:2" x14ac:dyDescent="0.25">
      <c r="A2518" s="20">
        <v>95941</v>
      </c>
      <c r="B2518" s="21">
        <v>16</v>
      </c>
    </row>
    <row r="2519" spans="1:2" x14ac:dyDescent="0.25">
      <c r="A2519" s="20">
        <v>95942</v>
      </c>
      <c r="B2519" s="21">
        <v>16</v>
      </c>
    </row>
    <row r="2520" spans="1:2" x14ac:dyDescent="0.25">
      <c r="A2520" s="20">
        <v>95943</v>
      </c>
      <c r="B2520" s="21">
        <v>11</v>
      </c>
    </row>
    <row r="2521" spans="1:2" x14ac:dyDescent="0.25">
      <c r="A2521" s="20">
        <v>95944</v>
      </c>
      <c r="B2521" s="21">
        <v>16</v>
      </c>
    </row>
    <row r="2522" spans="1:2" x14ac:dyDescent="0.25">
      <c r="A2522" s="20">
        <v>95945</v>
      </c>
      <c r="B2522" s="21">
        <v>11</v>
      </c>
    </row>
    <row r="2523" spans="1:2" x14ac:dyDescent="0.25">
      <c r="A2523" s="20">
        <v>95946</v>
      </c>
      <c r="B2523" s="21">
        <v>11</v>
      </c>
    </row>
    <row r="2524" spans="1:2" x14ac:dyDescent="0.25">
      <c r="A2524" s="20">
        <v>95947</v>
      </c>
      <c r="B2524" s="21">
        <v>16</v>
      </c>
    </row>
    <row r="2525" spans="1:2" x14ac:dyDescent="0.25">
      <c r="A2525" s="20">
        <v>95948</v>
      </c>
      <c r="B2525" s="21">
        <v>11</v>
      </c>
    </row>
    <row r="2526" spans="1:2" x14ac:dyDescent="0.25">
      <c r="A2526" s="20">
        <v>95949</v>
      </c>
      <c r="B2526" s="21">
        <v>11</v>
      </c>
    </row>
    <row r="2527" spans="1:2" x14ac:dyDescent="0.25">
      <c r="A2527" s="20">
        <v>95950</v>
      </c>
      <c r="B2527" s="21">
        <v>11</v>
      </c>
    </row>
    <row r="2528" spans="1:2" x14ac:dyDescent="0.25">
      <c r="A2528" s="20">
        <v>95951</v>
      </c>
      <c r="B2528" s="21">
        <v>11</v>
      </c>
    </row>
    <row r="2529" spans="1:2" x14ac:dyDescent="0.25">
      <c r="A2529" s="20">
        <v>95953</v>
      </c>
      <c r="B2529" s="21">
        <v>11</v>
      </c>
    </row>
    <row r="2530" spans="1:2" x14ac:dyDescent="0.25">
      <c r="A2530" s="20">
        <v>95954</v>
      </c>
      <c r="B2530" s="21">
        <v>16</v>
      </c>
    </row>
    <row r="2531" spans="1:2" x14ac:dyDescent="0.25">
      <c r="A2531" s="20">
        <v>95955</v>
      </c>
      <c r="B2531" s="21">
        <v>11</v>
      </c>
    </row>
    <row r="2532" spans="1:2" x14ac:dyDescent="0.25">
      <c r="A2532" s="20">
        <v>95956</v>
      </c>
      <c r="B2532" s="21">
        <v>16</v>
      </c>
    </row>
    <row r="2533" spans="1:2" x14ac:dyDescent="0.25">
      <c r="A2533" s="20">
        <v>95957</v>
      </c>
      <c r="B2533" s="21">
        <v>11</v>
      </c>
    </row>
    <row r="2534" spans="1:2" x14ac:dyDescent="0.25">
      <c r="A2534" s="20">
        <v>95958</v>
      </c>
      <c r="B2534" s="21">
        <v>11</v>
      </c>
    </row>
    <row r="2535" spans="1:2" x14ac:dyDescent="0.25">
      <c r="A2535" s="20">
        <v>95959</v>
      </c>
      <c r="B2535" s="21">
        <v>11</v>
      </c>
    </row>
    <row r="2536" spans="1:2" x14ac:dyDescent="0.25">
      <c r="A2536" s="20">
        <v>95960</v>
      </c>
      <c r="B2536" s="21">
        <v>16</v>
      </c>
    </row>
    <row r="2537" spans="1:2" x14ac:dyDescent="0.25">
      <c r="A2537" s="20">
        <v>95961</v>
      </c>
      <c r="B2537" s="21">
        <v>11</v>
      </c>
    </row>
    <row r="2538" spans="1:2" x14ac:dyDescent="0.25">
      <c r="A2538" s="20">
        <v>95962</v>
      </c>
      <c r="B2538" s="21">
        <v>11</v>
      </c>
    </row>
    <row r="2539" spans="1:2" x14ac:dyDescent="0.25">
      <c r="A2539" s="20">
        <v>95963</v>
      </c>
      <c r="B2539" s="21">
        <v>11</v>
      </c>
    </row>
    <row r="2540" spans="1:2" x14ac:dyDescent="0.25">
      <c r="A2540" s="20">
        <v>95965</v>
      </c>
      <c r="B2540" s="21">
        <v>11</v>
      </c>
    </row>
    <row r="2541" spans="1:2" x14ac:dyDescent="0.25">
      <c r="A2541" s="20">
        <v>95966</v>
      </c>
      <c r="B2541" s="21">
        <v>11</v>
      </c>
    </row>
    <row r="2542" spans="1:2" x14ac:dyDescent="0.25">
      <c r="A2542" s="20">
        <v>95967</v>
      </c>
      <c r="B2542" s="21">
        <v>11</v>
      </c>
    </row>
    <row r="2543" spans="1:2" x14ac:dyDescent="0.25">
      <c r="A2543" s="20">
        <v>95968</v>
      </c>
      <c r="B2543" s="21">
        <v>11</v>
      </c>
    </row>
    <row r="2544" spans="1:2" x14ac:dyDescent="0.25">
      <c r="A2544" s="20">
        <v>95969</v>
      </c>
      <c r="B2544" s="21">
        <v>11</v>
      </c>
    </row>
    <row r="2545" spans="1:2" x14ac:dyDescent="0.25">
      <c r="A2545" s="20">
        <v>95970</v>
      </c>
      <c r="B2545" s="21">
        <v>11</v>
      </c>
    </row>
    <row r="2546" spans="1:2" x14ac:dyDescent="0.25">
      <c r="A2546" s="20">
        <v>95971</v>
      </c>
      <c r="B2546" s="21">
        <v>16</v>
      </c>
    </row>
    <row r="2547" spans="1:2" x14ac:dyDescent="0.25">
      <c r="A2547" s="20">
        <v>95972</v>
      </c>
      <c r="B2547" s="21">
        <v>11</v>
      </c>
    </row>
    <row r="2548" spans="1:2" x14ac:dyDescent="0.25">
      <c r="A2548" s="20">
        <v>95973</v>
      </c>
      <c r="B2548" s="21">
        <v>11</v>
      </c>
    </row>
    <row r="2549" spans="1:2" x14ac:dyDescent="0.25">
      <c r="A2549" s="20">
        <v>95974</v>
      </c>
      <c r="B2549" s="21">
        <v>11</v>
      </c>
    </row>
    <row r="2550" spans="1:2" x14ac:dyDescent="0.25">
      <c r="A2550" s="20">
        <v>95975</v>
      </c>
      <c r="B2550" s="21">
        <v>11</v>
      </c>
    </row>
    <row r="2551" spans="1:2" x14ac:dyDescent="0.25">
      <c r="A2551" s="20">
        <v>95976</v>
      </c>
      <c r="B2551" s="21">
        <v>11</v>
      </c>
    </row>
    <row r="2552" spans="1:2" x14ac:dyDescent="0.25">
      <c r="A2552" s="20">
        <v>95977</v>
      </c>
      <c r="B2552" s="21">
        <v>11</v>
      </c>
    </row>
    <row r="2553" spans="1:2" x14ac:dyDescent="0.25">
      <c r="A2553" s="20">
        <v>95978</v>
      </c>
      <c r="B2553" s="21">
        <v>16</v>
      </c>
    </row>
    <row r="2554" spans="1:2" x14ac:dyDescent="0.25">
      <c r="A2554" s="20">
        <v>95979</v>
      </c>
      <c r="B2554" s="21">
        <v>11</v>
      </c>
    </row>
    <row r="2555" spans="1:2" x14ac:dyDescent="0.25">
      <c r="A2555" s="20">
        <v>95980</v>
      </c>
      <c r="B2555" s="21">
        <v>16</v>
      </c>
    </row>
    <row r="2556" spans="1:2" x14ac:dyDescent="0.25">
      <c r="A2556" s="20">
        <v>95981</v>
      </c>
      <c r="B2556" s="21">
        <v>16</v>
      </c>
    </row>
    <row r="2557" spans="1:2" x14ac:dyDescent="0.25">
      <c r="A2557" s="20">
        <v>95982</v>
      </c>
      <c r="B2557" s="21">
        <v>11</v>
      </c>
    </row>
    <row r="2558" spans="1:2" x14ac:dyDescent="0.25">
      <c r="A2558" s="20">
        <v>95983</v>
      </c>
      <c r="B2558" s="21">
        <v>16</v>
      </c>
    </row>
    <row r="2559" spans="1:2" x14ac:dyDescent="0.25">
      <c r="A2559" s="20">
        <v>95984</v>
      </c>
      <c r="B2559" s="21">
        <v>16</v>
      </c>
    </row>
    <row r="2560" spans="1:2" x14ac:dyDescent="0.25">
      <c r="A2560" s="20">
        <v>95986</v>
      </c>
      <c r="B2560" s="21">
        <v>16</v>
      </c>
    </row>
    <row r="2561" spans="1:2" x14ac:dyDescent="0.25">
      <c r="A2561" s="20">
        <v>95987</v>
      </c>
      <c r="B2561" s="21">
        <v>11</v>
      </c>
    </row>
    <row r="2562" spans="1:2" x14ac:dyDescent="0.25">
      <c r="A2562" s="20">
        <v>95988</v>
      </c>
      <c r="B2562" s="21">
        <v>11</v>
      </c>
    </row>
    <row r="2563" spans="1:2" x14ac:dyDescent="0.25">
      <c r="A2563" s="20">
        <v>95991</v>
      </c>
      <c r="B2563" s="21">
        <v>11</v>
      </c>
    </row>
    <row r="2564" spans="1:2" x14ac:dyDescent="0.25">
      <c r="A2564" s="20">
        <v>95992</v>
      </c>
      <c r="B2564" s="21">
        <v>11</v>
      </c>
    </row>
    <row r="2565" spans="1:2" x14ac:dyDescent="0.25">
      <c r="A2565" s="20">
        <v>95993</v>
      </c>
      <c r="B2565" s="21">
        <v>11</v>
      </c>
    </row>
    <row r="2566" spans="1:2" x14ac:dyDescent="0.25">
      <c r="A2566" s="20">
        <v>96001</v>
      </c>
      <c r="B2566" s="21">
        <v>11</v>
      </c>
    </row>
    <row r="2567" spans="1:2" x14ac:dyDescent="0.25">
      <c r="A2567" s="20">
        <v>96002</v>
      </c>
      <c r="B2567" s="21">
        <v>11</v>
      </c>
    </row>
    <row r="2568" spans="1:2" x14ac:dyDescent="0.25">
      <c r="A2568" s="20">
        <v>96003</v>
      </c>
      <c r="B2568" s="21">
        <v>11</v>
      </c>
    </row>
    <row r="2569" spans="1:2" x14ac:dyDescent="0.25">
      <c r="A2569" s="20">
        <v>96006</v>
      </c>
      <c r="B2569" s="21">
        <v>16</v>
      </c>
    </row>
    <row r="2570" spans="1:2" x14ac:dyDescent="0.25">
      <c r="A2570" s="20">
        <v>96007</v>
      </c>
      <c r="B2570" s="21">
        <v>11</v>
      </c>
    </row>
    <row r="2571" spans="1:2" x14ac:dyDescent="0.25">
      <c r="A2571" s="20">
        <v>96008</v>
      </c>
      <c r="B2571" s="21">
        <v>11</v>
      </c>
    </row>
    <row r="2572" spans="1:2" x14ac:dyDescent="0.25">
      <c r="A2572" s="20">
        <v>96009</v>
      </c>
      <c r="B2572" s="21">
        <v>16</v>
      </c>
    </row>
    <row r="2573" spans="1:2" x14ac:dyDescent="0.25">
      <c r="A2573" s="20">
        <v>96010</v>
      </c>
      <c r="B2573" s="21">
        <v>16</v>
      </c>
    </row>
    <row r="2574" spans="1:2" x14ac:dyDescent="0.25">
      <c r="A2574" s="20">
        <v>96011</v>
      </c>
      <c r="B2574" s="21">
        <v>16</v>
      </c>
    </row>
    <row r="2575" spans="1:2" x14ac:dyDescent="0.25">
      <c r="A2575" s="20">
        <v>96013</v>
      </c>
      <c r="B2575" s="21">
        <v>16</v>
      </c>
    </row>
    <row r="2576" spans="1:2" x14ac:dyDescent="0.25">
      <c r="A2576" s="20">
        <v>96014</v>
      </c>
      <c r="B2576" s="21">
        <v>16</v>
      </c>
    </row>
    <row r="2577" spans="1:2" x14ac:dyDescent="0.25">
      <c r="A2577" s="20">
        <v>96015</v>
      </c>
      <c r="B2577" s="21">
        <v>16</v>
      </c>
    </row>
    <row r="2578" spans="1:2" x14ac:dyDescent="0.25">
      <c r="A2578" s="20">
        <v>96016</v>
      </c>
      <c r="B2578" s="21">
        <v>16</v>
      </c>
    </row>
    <row r="2579" spans="1:2" x14ac:dyDescent="0.25">
      <c r="A2579" s="20">
        <v>96017</v>
      </c>
      <c r="B2579" s="21">
        <v>16</v>
      </c>
    </row>
    <row r="2580" spans="1:2" x14ac:dyDescent="0.25">
      <c r="A2580" s="20">
        <v>96019</v>
      </c>
      <c r="B2580" s="21">
        <v>11</v>
      </c>
    </row>
    <row r="2581" spans="1:2" x14ac:dyDescent="0.25">
      <c r="A2581" s="20">
        <v>96020</v>
      </c>
      <c r="B2581" s="21">
        <v>16</v>
      </c>
    </row>
    <row r="2582" spans="1:2" x14ac:dyDescent="0.25">
      <c r="A2582" s="20">
        <v>96021</v>
      </c>
      <c r="B2582" s="21">
        <v>11</v>
      </c>
    </row>
    <row r="2583" spans="1:2" x14ac:dyDescent="0.25">
      <c r="A2583" s="20">
        <v>96022</v>
      </c>
      <c r="B2583" s="21">
        <v>11</v>
      </c>
    </row>
    <row r="2584" spans="1:2" x14ac:dyDescent="0.25">
      <c r="A2584" s="20">
        <v>96023</v>
      </c>
      <c r="B2584" s="21">
        <v>16</v>
      </c>
    </row>
    <row r="2585" spans="1:2" x14ac:dyDescent="0.25">
      <c r="A2585" s="20">
        <v>96024</v>
      </c>
      <c r="B2585" s="21">
        <v>16</v>
      </c>
    </row>
    <row r="2586" spans="1:2" x14ac:dyDescent="0.25">
      <c r="A2586" s="20">
        <v>96025</v>
      </c>
      <c r="B2586" s="21">
        <v>16</v>
      </c>
    </row>
    <row r="2587" spans="1:2" x14ac:dyDescent="0.25">
      <c r="A2587" s="20">
        <v>96027</v>
      </c>
      <c r="B2587" s="21">
        <v>16</v>
      </c>
    </row>
    <row r="2588" spans="1:2" x14ac:dyDescent="0.25">
      <c r="A2588" s="20">
        <v>96028</v>
      </c>
      <c r="B2588" s="21">
        <v>16</v>
      </c>
    </row>
    <row r="2589" spans="1:2" x14ac:dyDescent="0.25">
      <c r="A2589" s="20">
        <v>96029</v>
      </c>
      <c r="B2589" s="21">
        <v>11</v>
      </c>
    </row>
    <row r="2590" spans="1:2" x14ac:dyDescent="0.25">
      <c r="A2590" s="20">
        <v>96031</v>
      </c>
      <c r="B2590" s="21">
        <v>16</v>
      </c>
    </row>
    <row r="2591" spans="1:2" x14ac:dyDescent="0.25">
      <c r="A2591" s="20">
        <v>96032</v>
      </c>
      <c r="B2591" s="21">
        <v>16</v>
      </c>
    </row>
    <row r="2592" spans="1:2" x14ac:dyDescent="0.25">
      <c r="A2592" s="20">
        <v>96033</v>
      </c>
      <c r="B2592" s="21">
        <v>11</v>
      </c>
    </row>
    <row r="2593" spans="1:2" x14ac:dyDescent="0.25">
      <c r="A2593" s="20">
        <v>96034</v>
      </c>
      <c r="B2593" s="21">
        <v>16</v>
      </c>
    </row>
    <row r="2594" spans="1:2" x14ac:dyDescent="0.25">
      <c r="A2594" s="20">
        <v>96035</v>
      </c>
      <c r="B2594" s="21">
        <v>11</v>
      </c>
    </row>
    <row r="2595" spans="1:2" x14ac:dyDescent="0.25">
      <c r="A2595" s="20">
        <v>96037</v>
      </c>
      <c r="B2595" s="21">
        <v>16</v>
      </c>
    </row>
    <row r="2596" spans="1:2" x14ac:dyDescent="0.25">
      <c r="A2596" s="20">
        <v>96038</v>
      </c>
      <c r="B2596" s="21">
        <v>16</v>
      </c>
    </row>
    <row r="2597" spans="1:2" x14ac:dyDescent="0.25">
      <c r="A2597" s="20">
        <v>96039</v>
      </c>
      <c r="B2597" s="21">
        <v>16</v>
      </c>
    </row>
    <row r="2598" spans="1:2" x14ac:dyDescent="0.25">
      <c r="A2598" s="20">
        <v>96040</v>
      </c>
      <c r="B2598" s="21">
        <v>16</v>
      </c>
    </row>
    <row r="2599" spans="1:2" x14ac:dyDescent="0.25">
      <c r="A2599" s="20">
        <v>96041</v>
      </c>
      <c r="B2599" s="21">
        <v>16</v>
      </c>
    </row>
    <row r="2600" spans="1:2" x14ac:dyDescent="0.25">
      <c r="A2600" s="20">
        <v>96044</v>
      </c>
      <c r="B2600" s="21">
        <v>16</v>
      </c>
    </row>
    <row r="2601" spans="1:2" x14ac:dyDescent="0.25">
      <c r="A2601" s="20">
        <v>96046</v>
      </c>
      <c r="B2601" s="21">
        <v>16</v>
      </c>
    </row>
    <row r="2602" spans="1:2" x14ac:dyDescent="0.25">
      <c r="A2602" s="20">
        <v>96047</v>
      </c>
      <c r="B2602" s="21">
        <v>11</v>
      </c>
    </row>
    <row r="2603" spans="1:2" x14ac:dyDescent="0.25">
      <c r="A2603" s="20">
        <v>96048</v>
      </c>
      <c r="B2603" s="21">
        <v>16</v>
      </c>
    </row>
    <row r="2604" spans="1:2" x14ac:dyDescent="0.25">
      <c r="A2604" s="20">
        <v>96049</v>
      </c>
      <c r="B2604" s="21">
        <v>16</v>
      </c>
    </row>
    <row r="2605" spans="1:2" x14ac:dyDescent="0.25">
      <c r="A2605" s="20">
        <v>96050</v>
      </c>
      <c r="B2605" s="21">
        <v>16</v>
      </c>
    </row>
    <row r="2606" spans="1:2" x14ac:dyDescent="0.25">
      <c r="A2606" s="20">
        <v>96051</v>
      </c>
      <c r="B2606" s="21">
        <v>11</v>
      </c>
    </row>
    <row r="2607" spans="1:2" x14ac:dyDescent="0.25">
      <c r="A2607" s="20">
        <v>96052</v>
      </c>
      <c r="B2607" s="21">
        <v>16</v>
      </c>
    </row>
    <row r="2608" spans="1:2" x14ac:dyDescent="0.25">
      <c r="A2608" s="20">
        <v>96053</v>
      </c>
      <c r="B2608" s="21">
        <v>16</v>
      </c>
    </row>
    <row r="2609" spans="1:2" x14ac:dyDescent="0.25">
      <c r="A2609" s="20">
        <v>96054</v>
      </c>
      <c r="B2609" s="21">
        <v>16</v>
      </c>
    </row>
    <row r="2610" spans="1:2" x14ac:dyDescent="0.25">
      <c r="A2610" s="20">
        <v>96055</v>
      </c>
      <c r="B2610" s="21">
        <v>11</v>
      </c>
    </row>
    <row r="2611" spans="1:2" x14ac:dyDescent="0.25">
      <c r="A2611" s="20">
        <v>96056</v>
      </c>
      <c r="B2611" s="21">
        <v>16</v>
      </c>
    </row>
    <row r="2612" spans="1:2" x14ac:dyDescent="0.25">
      <c r="A2612" s="20">
        <v>96057</v>
      </c>
      <c r="B2612" s="21">
        <v>16</v>
      </c>
    </row>
    <row r="2613" spans="1:2" x14ac:dyDescent="0.25">
      <c r="A2613" s="20">
        <v>96058</v>
      </c>
      <c r="B2613" s="21">
        <v>16</v>
      </c>
    </row>
    <row r="2614" spans="1:2" x14ac:dyDescent="0.25">
      <c r="A2614" s="20">
        <v>96059</v>
      </c>
      <c r="B2614" s="21">
        <v>11</v>
      </c>
    </row>
    <row r="2615" spans="1:2" x14ac:dyDescent="0.25">
      <c r="A2615" s="20">
        <v>96061</v>
      </c>
      <c r="B2615" s="21">
        <v>16</v>
      </c>
    </row>
    <row r="2616" spans="1:2" x14ac:dyDescent="0.25">
      <c r="A2616" s="20">
        <v>96062</v>
      </c>
      <c r="B2616" s="21">
        <v>11</v>
      </c>
    </row>
    <row r="2617" spans="1:2" x14ac:dyDescent="0.25">
      <c r="A2617" s="20">
        <v>96063</v>
      </c>
      <c r="B2617" s="21">
        <v>16</v>
      </c>
    </row>
    <row r="2618" spans="1:2" x14ac:dyDescent="0.25">
      <c r="A2618" s="20">
        <v>96064</v>
      </c>
      <c r="B2618" s="21">
        <v>16</v>
      </c>
    </row>
    <row r="2619" spans="1:2" x14ac:dyDescent="0.25">
      <c r="A2619" s="20">
        <v>96065</v>
      </c>
      <c r="B2619" s="21">
        <v>16</v>
      </c>
    </row>
    <row r="2620" spans="1:2" x14ac:dyDescent="0.25">
      <c r="A2620" s="20">
        <v>96067</v>
      </c>
      <c r="B2620" s="21">
        <v>16</v>
      </c>
    </row>
    <row r="2621" spans="1:2" x14ac:dyDescent="0.25">
      <c r="A2621" s="20">
        <v>96068</v>
      </c>
      <c r="B2621" s="21">
        <v>16</v>
      </c>
    </row>
    <row r="2622" spans="1:2" x14ac:dyDescent="0.25">
      <c r="A2622" s="20">
        <v>96069</v>
      </c>
      <c r="B2622" s="21">
        <v>11</v>
      </c>
    </row>
    <row r="2623" spans="1:2" x14ac:dyDescent="0.25">
      <c r="A2623" s="20">
        <v>96070</v>
      </c>
      <c r="B2623" s="21">
        <v>11</v>
      </c>
    </row>
    <row r="2624" spans="1:2" x14ac:dyDescent="0.25">
      <c r="A2624" s="20">
        <v>96071</v>
      </c>
      <c r="B2624" s="21">
        <v>16</v>
      </c>
    </row>
    <row r="2625" spans="1:2" x14ac:dyDescent="0.25">
      <c r="A2625" s="20">
        <v>96073</v>
      </c>
      <c r="B2625" s="21">
        <v>11</v>
      </c>
    </row>
    <row r="2626" spans="1:2" x14ac:dyDescent="0.25">
      <c r="A2626" s="20">
        <v>96074</v>
      </c>
      <c r="B2626" s="21">
        <v>11</v>
      </c>
    </row>
    <row r="2627" spans="1:2" x14ac:dyDescent="0.25">
      <c r="A2627" s="20">
        <v>96075</v>
      </c>
      <c r="B2627" s="21">
        <v>16</v>
      </c>
    </row>
    <row r="2628" spans="1:2" x14ac:dyDescent="0.25">
      <c r="A2628" s="20">
        <v>96076</v>
      </c>
      <c r="B2628" s="21">
        <v>16</v>
      </c>
    </row>
    <row r="2629" spans="1:2" x14ac:dyDescent="0.25">
      <c r="A2629" s="20">
        <v>96078</v>
      </c>
      <c r="B2629" s="21">
        <v>11</v>
      </c>
    </row>
    <row r="2630" spans="1:2" x14ac:dyDescent="0.25">
      <c r="A2630" s="20">
        <v>96079</v>
      </c>
      <c r="B2630" s="21">
        <v>11</v>
      </c>
    </row>
    <row r="2631" spans="1:2" x14ac:dyDescent="0.25">
      <c r="A2631" s="20">
        <v>96080</v>
      </c>
      <c r="B2631" s="21">
        <v>11</v>
      </c>
    </row>
    <row r="2632" spans="1:2" x14ac:dyDescent="0.25">
      <c r="A2632" s="20">
        <v>96084</v>
      </c>
      <c r="B2632" s="21">
        <v>11</v>
      </c>
    </row>
    <row r="2633" spans="1:2" x14ac:dyDescent="0.25">
      <c r="A2633" s="20">
        <v>96085</v>
      </c>
      <c r="B2633" s="21">
        <v>16</v>
      </c>
    </row>
    <row r="2634" spans="1:2" x14ac:dyDescent="0.25">
      <c r="A2634" s="20">
        <v>96086</v>
      </c>
      <c r="B2634" s="21">
        <v>16</v>
      </c>
    </row>
    <row r="2635" spans="1:2" x14ac:dyDescent="0.25">
      <c r="A2635" s="20">
        <v>96087</v>
      </c>
      <c r="B2635" s="21">
        <v>11</v>
      </c>
    </row>
    <row r="2636" spans="1:2" x14ac:dyDescent="0.25">
      <c r="A2636" s="20">
        <v>96088</v>
      </c>
      <c r="B2636" s="21">
        <v>11</v>
      </c>
    </row>
    <row r="2637" spans="1:2" x14ac:dyDescent="0.25">
      <c r="A2637" s="20">
        <v>96089</v>
      </c>
      <c r="B2637" s="21">
        <v>11</v>
      </c>
    </row>
    <row r="2638" spans="1:2" x14ac:dyDescent="0.25">
      <c r="A2638" s="20">
        <v>96090</v>
      </c>
      <c r="B2638" s="21">
        <v>11</v>
      </c>
    </row>
    <row r="2639" spans="1:2" x14ac:dyDescent="0.25">
      <c r="A2639" s="20">
        <v>96091</v>
      </c>
      <c r="B2639" s="21">
        <v>16</v>
      </c>
    </row>
    <row r="2640" spans="1:2" x14ac:dyDescent="0.25">
      <c r="A2640" s="20">
        <v>96092</v>
      </c>
      <c r="B2640" s="21">
        <v>11</v>
      </c>
    </row>
    <row r="2641" spans="1:2" x14ac:dyDescent="0.25">
      <c r="A2641" s="20">
        <v>96093</v>
      </c>
      <c r="B2641" s="21">
        <v>16</v>
      </c>
    </row>
    <row r="2642" spans="1:2" x14ac:dyDescent="0.25">
      <c r="A2642" s="20">
        <v>96094</v>
      </c>
      <c r="B2642" s="21">
        <v>16</v>
      </c>
    </row>
    <row r="2643" spans="1:2" x14ac:dyDescent="0.25">
      <c r="A2643" s="20">
        <v>96095</v>
      </c>
      <c r="B2643" s="21">
        <v>11</v>
      </c>
    </row>
    <row r="2644" spans="1:2" x14ac:dyDescent="0.25">
      <c r="A2644" s="20">
        <v>96096</v>
      </c>
      <c r="B2644" s="21">
        <v>11</v>
      </c>
    </row>
    <row r="2645" spans="1:2" x14ac:dyDescent="0.25">
      <c r="A2645" s="20">
        <v>96097</v>
      </c>
      <c r="B2645" s="21">
        <v>16</v>
      </c>
    </row>
    <row r="2646" spans="1:2" x14ac:dyDescent="0.25">
      <c r="A2646" s="20">
        <v>96099</v>
      </c>
      <c r="B2646" s="21">
        <v>11</v>
      </c>
    </row>
    <row r="2647" spans="1:2" x14ac:dyDescent="0.25">
      <c r="A2647" s="20">
        <v>96101</v>
      </c>
      <c r="B2647" s="21">
        <v>16</v>
      </c>
    </row>
    <row r="2648" spans="1:2" x14ac:dyDescent="0.25">
      <c r="A2648" s="20">
        <v>96103</v>
      </c>
      <c r="B2648" s="21">
        <v>16</v>
      </c>
    </row>
    <row r="2649" spans="1:2" x14ac:dyDescent="0.25">
      <c r="A2649" s="20">
        <v>96104</v>
      </c>
      <c r="B2649" s="21">
        <v>16</v>
      </c>
    </row>
    <row r="2650" spans="1:2" x14ac:dyDescent="0.25">
      <c r="A2650" s="20">
        <v>96105</v>
      </c>
      <c r="B2650" s="21">
        <v>16</v>
      </c>
    </row>
    <row r="2651" spans="1:2" x14ac:dyDescent="0.25">
      <c r="A2651" s="20">
        <v>96106</v>
      </c>
      <c r="B2651" s="21">
        <v>16</v>
      </c>
    </row>
    <row r="2652" spans="1:2" x14ac:dyDescent="0.25">
      <c r="A2652" s="20">
        <v>96107</v>
      </c>
      <c r="B2652" s="21">
        <v>16</v>
      </c>
    </row>
    <row r="2653" spans="1:2" x14ac:dyDescent="0.25">
      <c r="A2653" s="20">
        <v>96108</v>
      </c>
      <c r="B2653" s="21">
        <v>16</v>
      </c>
    </row>
    <row r="2654" spans="1:2" x14ac:dyDescent="0.25">
      <c r="A2654" s="20">
        <v>96109</v>
      </c>
      <c r="B2654" s="21">
        <v>16</v>
      </c>
    </row>
    <row r="2655" spans="1:2" x14ac:dyDescent="0.25">
      <c r="A2655" s="20">
        <v>96110</v>
      </c>
      <c r="B2655" s="21">
        <v>16</v>
      </c>
    </row>
    <row r="2656" spans="1:2" x14ac:dyDescent="0.25">
      <c r="A2656" s="20">
        <v>96111</v>
      </c>
      <c r="B2656" s="21">
        <v>16</v>
      </c>
    </row>
    <row r="2657" spans="1:2" x14ac:dyDescent="0.25">
      <c r="A2657" s="20">
        <v>96112</v>
      </c>
      <c r="B2657" s="21">
        <v>16</v>
      </c>
    </row>
    <row r="2658" spans="1:2" x14ac:dyDescent="0.25">
      <c r="A2658" s="20">
        <v>96113</v>
      </c>
      <c r="B2658" s="21">
        <v>16</v>
      </c>
    </row>
    <row r="2659" spans="1:2" x14ac:dyDescent="0.25">
      <c r="A2659" s="20">
        <v>96114</v>
      </c>
      <c r="B2659" s="21">
        <v>16</v>
      </c>
    </row>
    <row r="2660" spans="1:2" x14ac:dyDescent="0.25">
      <c r="A2660" s="20">
        <v>96115</v>
      </c>
      <c r="B2660" s="21">
        <v>16</v>
      </c>
    </row>
    <row r="2661" spans="1:2" x14ac:dyDescent="0.25">
      <c r="A2661" s="20">
        <v>96116</v>
      </c>
      <c r="B2661" s="21">
        <v>16</v>
      </c>
    </row>
    <row r="2662" spans="1:2" x14ac:dyDescent="0.25">
      <c r="A2662" s="20">
        <v>96117</v>
      </c>
      <c r="B2662" s="21">
        <v>16</v>
      </c>
    </row>
    <row r="2663" spans="1:2" x14ac:dyDescent="0.25">
      <c r="A2663" s="20">
        <v>96118</v>
      </c>
      <c r="B2663" s="21">
        <v>16</v>
      </c>
    </row>
    <row r="2664" spans="1:2" x14ac:dyDescent="0.25">
      <c r="A2664" s="20">
        <v>96119</v>
      </c>
      <c r="B2664" s="21">
        <v>16</v>
      </c>
    </row>
    <row r="2665" spans="1:2" x14ac:dyDescent="0.25">
      <c r="A2665" s="20">
        <v>96120</v>
      </c>
      <c r="B2665" s="21">
        <v>16</v>
      </c>
    </row>
    <row r="2666" spans="1:2" x14ac:dyDescent="0.25">
      <c r="A2666" s="20">
        <v>96121</v>
      </c>
      <c r="B2666" s="21">
        <v>16</v>
      </c>
    </row>
    <row r="2667" spans="1:2" x14ac:dyDescent="0.25">
      <c r="A2667" s="20">
        <v>96122</v>
      </c>
      <c r="B2667" s="21">
        <v>16</v>
      </c>
    </row>
    <row r="2668" spans="1:2" x14ac:dyDescent="0.25">
      <c r="A2668" s="20">
        <v>96123</v>
      </c>
      <c r="B2668" s="21">
        <v>16</v>
      </c>
    </row>
    <row r="2669" spans="1:2" x14ac:dyDescent="0.25">
      <c r="A2669" s="20">
        <v>96124</v>
      </c>
      <c r="B2669" s="21">
        <v>16</v>
      </c>
    </row>
    <row r="2670" spans="1:2" x14ac:dyDescent="0.25">
      <c r="A2670" s="20">
        <v>96125</v>
      </c>
      <c r="B2670" s="21">
        <v>16</v>
      </c>
    </row>
    <row r="2671" spans="1:2" x14ac:dyDescent="0.25">
      <c r="A2671" s="20">
        <v>96126</v>
      </c>
      <c r="B2671" s="21">
        <v>16</v>
      </c>
    </row>
    <row r="2672" spans="1:2" x14ac:dyDescent="0.25">
      <c r="A2672" s="20">
        <v>96127</v>
      </c>
      <c r="B2672" s="21">
        <v>16</v>
      </c>
    </row>
    <row r="2673" spans="1:2" x14ac:dyDescent="0.25">
      <c r="A2673" s="20">
        <v>96128</v>
      </c>
      <c r="B2673" s="21">
        <v>16</v>
      </c>
    </row>
    <row r="2674" spans="1:2" x14ac:dyDescent="0.25">
      <c r="A2674" s="20">
        <v>96129</v>
      </c>
      <c r="B2674" s="21">
        <v>16</v>
      </c>
    </row>
    <row r="2675" spans="1:2" x14ac:dyDescent="0.25">
      <c r="A2675" s="20">
        <v>96130</v>
      </c>
      <c r="B2675" s="21">
        <v>16</v>
      </c>
    </row>
    <row r="2676" spans="1:2" x14ac:dyDescent="0.25">
      <c r="A2676" s="20">
        <v>96132</v>
      </c>
      <c r="B2676" s="21">
        <v>16</v>
      </c>
    </row>
    <row r="2677" spans="1:2" x14ac:dyDescent="0.25">
      <c r="A2677" s="20">
        <v>96133</v>
      </c>
      <c r="B2677" s="21">
        <v>16</v>
      </c>
    </row>
    <row r="2678" spans="1:2" x14ac:dyDescent="0.25">
      <c r="A2678" s="20">
        <v>96134</v>
      </c>
      <c r="B2678" s="21">
        <v>16</v>
      </c>
    </row>
    <row r="2679" spans="1:2" x14ac:dyDescent="0.25">
      <c r="A2679" s="20">
        <v>96135</v>
      </c>
      <c r="B2679" s="21">
        <v>16</v>
      </c>
    </row>
    <row r="2680" spans="1:2" x14ac:dyDescent="0.25">
      <c r="A2680" s="20">
        <v>96136</v>
      </c>
      <c r="B2680" s="21">
        <v>16</v>
      </c>
    </row>
    <row r="2681" spans="1:2" x14ac:dyDescent="0.25">
      <c r="A2681" s="20">
        <v>96137</v>
      </c>
      <c r="B2681" s="21">
        <v>16</v>
      </c>
    </row>
    <row r="2682" spans="1:2" x14ac:dyDescent="0.25">
      <c r="A2682" s="20">
        <v>96140</v>
      </c>
      <c r="B2682" s="21">
        <v>16</v>
      </c>
    </row>
    <row r="2683" spans="1:2" x14ac:dyDescent="0.25">
      <c r="A2683" s="20">
        <v>96141</v>
      </c>
      <c r="B2683" s="21">
        <v>16</v>
      </c>
    </row>
    <row r="2684" spans="1:2" x14ac:dyDescent="0.25">
      <c r="A2684" s="20">
        <v>96142</v>
      </c>
      <c r="B2684" s="21">
        <v>16</v>
      </c>
    </row>
    <row r="2685" spans="1:2" x14ac:dyDescent="0.25">
      <c r="A2685" s="20">
        <v>96143</v>
      </c>
      <c r="B2685" s="21">
        <v>16</v>
      </c>
    </row>
    <row r="2686" spans="1:2" x14ac:dyDescent="0.25">
      <c r="A2686" s="20">
        <v>96145</v>
      </c>
      <c r="B2686" s="21">
        <v>16</v>
      </c>
    </row>
    <row r="2687" spans="1:2" x14ac:dyDescent="0.25">
      <c r="A2687" s="20">
        <v>96146</v>
      </c>
      <c r="B2687" s="21">
        <v>16</v>
      </c>
    </row>
    <row r="2688" spans="1:2" x14ac:dyDescent="0.25">
      <c r="A2688" s="20">
        <v>96148</v>
      </c>
      <c r="B2688" s="21">
        <v>16</v>
      </c>
    </row>
    <row r="2689" spans="1:2" x14ac:dyDescent="0.25">
      <c r="A2689" s="20">
        <v>96150</v>
      </c>
      <c r="B2689" s="21">
        <v>16</v>
      </c>
    </row>
    <row r="2690" spans="1:2" x14ac:dyDescent="0.25">
      <c r="A2690" s="20">
        <v>96151</v>
      </c>
      <c r="B2690" s="21">
        <v>16</v>
      </c>
    </row>
    <row r="2691" spans="1:2" x14ac:dyDescent="0.25">
      <c r="A2691" s="20">
        <v>96152</v>
      </c>
      <c r="B2691" s="21">
        <v>16</v>
      </c>
    </row>
    <row r="2692" spans="1:2" x14ac:dyDescent="0.25">
      <c r="A2692" s="20">
        <v>96154</v>
      </c>
      <c r="B2692" s="21">
        <v>16</v>
      </c>
    </row>
    <row r="2693" spans="1:2" x14ac:dyDescent="0.25">
      <c r="A2693" s="20">
        <v>96155</v>
      </c>
      <c r="B2693" s="21">
        <v>16</v>
      </c>
    </row>
    <row r="2694" spans="1:2" x14ac:dyDescent="0.25">
      <c r="A2694" s="20">
        <v>96156</v>
      </c>
      <c r="B2694" s="21">
        <v>16</v>
      </c>
    </row>
    <row r="2695" spans="1:2" x14ac:dyDescent="0.25">
      <c r="A2695" s="20">
        <v>96157</v>
      </c>
      <c r="B2695" s="21">
        <v>16</v>
      </c>
    </row>
    <row r="2696" spans="1:2" x14ac:dyDescent="0.25">
      <c r="A2696" s="20">
        <v>96158</v>
      </c>
      <c r="B2696" s="21">
        <v>16</v>
      </c>
    </row>
    <row r="2697" spans="1:2" x14ac:dyDescent="0.25">
      <c r="A2697" s="20">
        <v>96160</v>
      </c>
      <c r="B2697" s="21">
        <v>16</v>
      </c>
    </row>
    <row r="2698" spans="1:2" x14ac:dyDescent="0.25">
      <c r="A2698" s="20">
        <v>96161</v>
      </c>
      <c r="B2698" s="21">
        <v>16</v>
      </c>
    </row>
    <row r="2699" spans="1:2" x14ac:dyDescent="0.25">
      <c r="A2699" s="22">
        <v>96162</v>
      </c>
      <c r="B2699" s="23">
        <v>16</v>
      </c>
    </row>
  </sheetData>
  <mergeCells count="1">
    <mergeCell ref="A1:E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3F666-F4D5-4547-953C-6F3AC730298A}">
  <sheetPr codeName="Sheet1"/>
  <dimension ref="B3:L44"/>
  <sheetViews>
    <sheetView workbookViewId="0">
      <selection activeCell="I17" sqref="I17"/>
    </sheetView>
  </sheetViews>
  <sheetFormatPr defaultRowHeight="15" x14ac:dyDescent="0.25"/>
  <cols>
    <col min="1" max="1" width="9.42578125" customWidth="1"/>
    <col min="2" max="2" width="5.140625" customWidth="1"/>
    <col min="4" max="4" width="10.7109375" customWidth="1"/>
    <col min="5" max="5" width="15" customWidth="1"/>
    <col min="6" max="6" width="14.7109375" customWidth="1"/>
    <col min="9" max="12" width="21.42578125" customWidth="1"/>
  </cols>
  <sheetData>
    <row r="3" spans="2:7" x14ac:dyDescent="0.25">
      <c r="C3" s="3" t="s">
        <v>80</v>
      </c>
      <c r="G3" s="34" t="s">
        <v>79</v>
      </c>
    </row>
    <row r="4" spans="2:7" x14ac:dyDescent="0.25">
      <c r="B4" s="24" t="s">
        <v>78</v>
      </c>
      <c r="F4" s="33" t="s">
        <v>77</v>
      </c>
      <c r="G4" s="8">
        <v>8</v>
      </c>
    </row>
    <row r="5" spans="2:7" ht="18.75" customHeight="1" x14ac:dyDescent="0.25">
      <c r="B5" s="24">
        <v>1</v>
      </c>
      <c r="C5" s="105" t="s">
        <v>55</v>
      </c>
      <c r="D5" s="129" t="s">
        <v>76</v>
      </c>
      <c r="E5" s="123" t="s">
        <v>75</v>
      </c>
      <c r="F5" s="92" t="s">
        <v>74</v>
      </c>
      <c r="G5" s="24">
        <f>VLOOKUP(B5,Tbl_Code[],$G$4+1)</f>
        <v>4.1000000000000002E-2</v>
      </c>
    </row>
    <row r="6" spans="2:7" ht="38.25" customHeight="1" x14ac:dyDescent="0.25">
      <c r="B6" s="24">
        <v>2</v>
      </c>
      <c r="C6" s="106"/>
      <c r="D6" s="129"/>
      <c r="E6" s="123"/>
      <c r="F6" s="92" t="s">
        <v>68</v>
      </c>
      <c r="G6" s="24">
        <f>VLOOKUP(B6,Tbl_Code[],$G$4+1)</f>
        <v>4.9000000000000002E-2</v>
      </c>
    </row>
    <row r="7" spans="2:7" x14ac:dyDescent="0.25">
      <c r="B7" s="24">
        <v>3</v>
      </c>
      <c r="C7" s="106"/>
      <c r="D7" s="129"/>
      <c r="E7" s="123" t="s">
        <v>73</v>
      </c>
      <c r="F7" s="92" t="s">
        <v>72</v>
      </c>
      <c r="G7" s="24">
        <f>VLOOKUP(B7,Tbl_Code[],$G$4+1)</f>
        <v>6.0999999999999999E-2</v>
      </c>
    </row>
    <row r="8" spans="2:7" x14ac:dyDescent="0.25">
      <c r="B8" s="24">
        <v>4</v>
      </c>
      <c r="C8" s="106"/>
      <c r="D8" s="129"/>
      <c r="E8" s="123"/>
      <c r="F8" s="92" t="s">
        <v>71</v>
      </c>
      <c r="G8" s="24">
        <f>VLOOKUP(B8,Tbl_Code[],$G$4+1)</f>
        <v>5.5E-2</v>
      </c>
    </row>
    <row r="9" spans="2:7" x14ac:dyDescent="0.25">
      <c r="B9" s="24">
        <v>5</v>
      </c>
      <c r="C9" s="106"/>
      <c r="D9" s="129"/>
      <c r="E9" s="123"/>
      <c r="F9" s="92" t="s">
        <v>70</v>
      </c>
      <c r="G9" s="24">
        <f>VLOOKUP(B9,Tbl_Code[],$G$4+1)</f>
        <v>0.44</v>
      </c>
    </row>
    <row r="10" spans="2:7" x14ac:dyDescent="0.25">
      <c r="B10" s="24">
        <v>6</v>
      </c>
      <c r="C10" s="106"/>
      <c r="D10" s="129"/>
      <c r="E10" s="123"/>
      <c r="F10" s="92" t="s">
        <v>69</v>
      </c>
      <c r="G10" s="24">
        <f>VLOOKUP(B10,Tbl_Code[],$G$4+1)</f>
        <v>0.69</v>
      </c>
    </row>
    <row r="11" spans="2:7" ht="30" x14ac:dyDescent="0.25">
      <c r="B11" s="24">
        <v>7</v>
      </c>
      <c r="C11" s="106"/>
      <c r="D11" s="129"/>
      <c r="E11" s="123"/>
      <c r="F11" s="92" t="s">
        <v>68</v>
      </c>
      <c r="G11" s="24">
        <f>VLOOKUP(B11,Tbl_Code[],$G$4+1)</f>
        <v>0.10199999999999999</v>
      </c>
    </row>
    <row r="12" spans="2:7" x14ac:dyDescent="0.25">
      <c r="B12" s="24">
        <v>8</v>
      </c>
      <c r="C12" s="106"/>
      <c r="D12" s="129"/>
      <c r="E12" s="123" t="s">
        <v>67</v>
      </c>
      <c r="F12" s="92" t="s">
        <v>66</v>
      </c>
      <c r="G12" s="24">
        <f>VLOOKUP(B12,Tbl_Code[],$G$4+1)</f>
        <v>0.26900000000000002</v>
      </c>
    </row>
    <row r="13" spans="2:7" x14ac:dyDescent="0.25">
      <c r="B13" s="24">
        <v>9</v>
      </c>
      <c r="C13" s="106"/>
      <c r="D13" s="129"/>
      <c r="E13" s="123"/>
      <c r="F13" s="92" t="s">
        <v>65</v>
      </c>
      <c r="G13" s="24">
        <f>VLOOKUP(B13,Tbl_Code[],$G$4+1)</f>
        <v>7.0999999999999994E-2</v>
      </c>
    </row>
    <row r="14" spans="2:7" ht="30" x14ac:dyDescent="0.25">
      <c r="B14" s="24">
        <v>10</v>
      </c>
      <c r="C14" s="106"/>
      <c r="D14" s="129" t="s">
        <v>64</v>
      </c>
      <c r="E14" s="123" t="s">
        <v>63</v>
      </c>
      <c r="F14" s="92" t="s">
        <v>61</v>
      </c>
      <c r="G14" s="24">
        <f>VLOOKUP(B14,Tbl_Code[],$G$4+1)</f>
        <v>0.63</v>
      </c>
    </row>
    <row r="15" spans="2:7" ht="30" x14ac:dyDescent="0.25">
      <c r="B15" s="24">
        <v>11</v>
      </c>
      <c r="C15" s="106"/>
      <c r="D15" s="129"/>
      <c r="E15" s="123"/>
      <c r="F15" s="92" t="s">
        <v>60</v>
      </c>
      <c r="G15" s="24">
        <f>VLOOKUP(B15,Tbl_Code[],$G$4+1)</f>
        <v>0.75</v>
      </c>
    </row>
    <row r="16" spans="2:7" ht="30" x14ac:dyDescent="0.25">
      <c r="B16" s="24">
        <v>12</v>
      </c>
      <c r="C16" s="106"/>
      <c r="D16" s="129"/>
      <c r="E16" s="123" t="s">
        <v>62</v>
      </c>
      <c r="F16" s="92" t="s">
        <v>61</v>
      </c>
      <c r="G16" s="24">
        <f>VLOOKUP(B16,Tbl_Code[],$G$4+1)</f>
        <v>0.25</v>
      </c>
    </row>
    <row r="17" spans="2:12" ht="30" x14ac:dyDescent="0.25">
      <c r="B17" s="24">
        <v>13</v>
      </c>
      <c r="C17" s="106"/>
      <c r="D17" s="129"/>
      <c r="E17" s="123"/>
      <c r="F17" s="92" t="s">
        <v>60</v>
      </c>
      <c r="G17" s="24">
        <f>VLOOKUP(B17,Tbl_Code[],$G$4+1)</f>
        <v>0.8</v>
      </c>
    </row>
    <row r="18" spans="2:12" x14ac:dyDescent="0.25">
      <c r="B18" s="24">
        <v>14</v>
      </c>
      <c r="C18" s="106"/>
      <c r="D18" s="130" t="s">
        <v>59</v>
      </c>
      <c r="E18" s="112"/>
      <c r="F18" s="113"/>
      <c r="G18" s="24" t="str">
        <f>VLOOKUP(B18,Tbl_Code[],$G$4+1)</f>
        <v>REQ</v>
      </c>
    </row>
    <row r="19" spans="2:12" x14ac:dyDescent="0.25">
      <c r="B19" s="24">
        <v>15</v>
      </c>
      <c r="C19" s="106"/>
      <c r="D19" s="119" t="s">
        <v>58</v>
      </c>
      <c r="E19" s="119"/>
      <c r="F19" s="92" t="s">
        <v>57</v>
      </c>
      <c r="G19" s="24">
        <f>VLOOKUP(B19,Tbl_Code[],$G$4+1)</f>
        <v>1.45</v>
      </c>
    </row>
    <row r="20" spans="2:12" ht="15.75" thickBot="1" x14ac:dyDescent="0.3">
      <c r="B20" s="24">
        <v>16</v>
      </c>
      <c r="C20" s="107"/>
      <c r="D20" s="131"/>
      <c r="E20" s="131"/>
      <c r="F20" s="93" t="s">
        <v>56</v>
      </c>
      <c r="G20" s="24">
        <f>VLOOKUP(B20,Tbl_Code[],$G$4+1)</f>
        <v>0.7</v>
      </c>
    </row>
    <row r="21" spans="2:12" ht="15" customHeight="1" x14ac:dyDescent="0.25">
      <c r="B21" s="24">
        <v>17</v>
      </c>
      <c r="C21" s="106" t="s">
        <v>55</v>
      </c>
      <c r="D21" s="108" t="s">
        <v>54</v>
      </c>
      <c r="E21" s="108" t="s">
        <v>53</v>
      </c>
      <c r="F21" s="31"/>
      <c r="G21" s="128"/>
      <c r="H21" s="129"/>
      <c r="I21" s="109" t="s">
        <v>52</v>
      </c>
      <c r="J21" s="109"/>
      <c r="K21" s="109"/>
      <c r="L21" s="109"/>
    </row>
    <row r="22" spans="2:12" ht="30" customHeight="1" x14ac:dyDescent="0.25">
      <c r="B22" s="24">
        <v>18</v>
      </c>
      <c r="C22" s="106"/>
      <c r="D22" s="112"/>
      <c r="E22" s="112"/>
      <c r="F22" s="119" t="s">
        <v>46</v>
      </c>
      <c r="G22" s="125" t="s">
        <v>41</v>
      </c>
      <c r="H22" s="124"/>
      <c r="I22" s="102">
        <f>VLOOKUP(B22,Tbl_Code[],$G$4+1)</f>
        <v>0.36</v>
      </c>
      <c r="J22" s="103"/>
      <c r="K22" s="103"/>
      <c r="L22" s="104"/>
    </row>
    <row r="23" spans="2:12" ht="30" customHeight="1" x14ac:dyDescent="0.25">
      <c r="B23" s="24">
        <v>19</v>
      </c>
      <c r="C23" s="106"/>
      <c r="D23" s="112"/>
      <c r="E23" s="112"/>
      <c r="F23" s="119"/>
      <c r="G23" s="125" t="s">
        <v>40</v>
      </c>
      <c r="H23" s="124"/>
      <c r="I23" s="102">
        <f>VLOOKUP(B23,Tbl_Code[],$G$4+1)</f>
        <v>0.25</v>
      </c>
      <c r="J23" s="103"/>
      <c r="K23" s="103"/>
      <c r="L23" s="104"/>
    </row>
    <row r="24" spans="2:12" x14ac:dyDescent="0.25">
      <c r="B24" s="24">
        <v>20</v>
      </c>
      <c r="C24" s="106"/>
      <c r="D24" s="112"/>
      <c r="E24" s="112"/>
      <c r="F24" s="119"/>
      <c r="G24" s="125" t="s">
        <v>38</v>
      </c>
      <c r="H24" s="124"/>
      <c r="I24" s="102">
        <f>VLOOKUP(B24,Tbl_Code[],$G$4+1)</f>
        <v>0.42</v>
      </c>
      <c r="J24" s="103"/>
      <c r="K24" s="103"/>
      <c r="L24" s="104"/>
    </row>
    <row r="25" spans="2:12" ht="23.25" customHeight="1" x14ac:dyDescent="0.25">
      <c r="B25" s="24">
        <v>21</v>
      </c>
      <c r="C25" s="106"/>
      <c r="D25" s="112"/>
      <c r="E25" s="112"/>
      <c r="F25" s="119"/>
      <c r="G25" s="120"/>
      <c r="H25" s="121"/>
      <c r="I25" s="110" t="s">
        <v>51</v>
      </c>
      <c r="J25" s="110"/>
      <c r="K25" s="110"/>
      <c r="L25" s="110"/>
    </row>
    <row r="26" spans="2:12" ht="30" customHeight="1" x14ac:dyDescent="0.25">
      <c r="B26" s="24">
        <v>22</v>
      </c>
      <c r="C26" s="106"/>
      <c r="D26" s="112"/>
      <c r="E26" s="112"/>
      <c r="F26" s="119"/>
      <c r="G26" s="125" t="s">
        <v>41</v>
      </c>
      <c r="H26" s="124"/>
      <c r="I26" s="102">
        <f>VLOOKUP(B26,Tbl_Code[],$G$4+1)</f>
        <v>0.41</v>
      </c>
      <c r="J26" s="103"/>
      <c r="K26" s="103"/>
      <c r="L26" s="104"/>
    </row>
    <row r="27" spans="2:12" ht="30" customHeight="1" x14ac:dyDescent="0.25">
      <c r="B27" s="24">
        <v>23</v>
      </c>
      <c r="C27" s="106"/>
      <c r="D27" s="112"/>
      <c r="E27" s="112"/>
      <c r="F27" s="119"/>
      <c r="G27" s="125" t="s">
        <v>40</v>
      </c>
      <c r="H27" s="124"/>
      <c r="I27" s="102">
        <f>VLOOKUP(B27,Tbl_Code[],$G$4+1)</f>
        <v>0.26</v>
      </c>
      <c r="J27" s="103"/>
      <c r="K27" s="103"/>
      <c r="L27" s="104"/>
    </row>
    <row r="28" spans="2:12" x14ac:dyDescent="0.25">
      <c r="B28" s="24">
        <v>24</v>
      </c>
      <c r="C28" s="106"/>
      <c r="D28" s="112"/>
      <c r="E28" s="112"/>
      <c r="F28" s="119"/>
      <c r="G28" s="125" t="s">
        <v>38</v>
      </c>
      <c r="H28" s="124"/>
      <c r="I28" s="102">
        <f>VLOOKUP(B28,Tbl_Code[],$G$4+1)</f>
        <v>0.46</v>
      </c>
      <c r="J28" s="103"/>
      <c r="K28" s="103"/>
      <c r="L28" s="104"/>
    </row>
    <row r="29" spans="2:12" ht="23.25" customHeight="1" x14ac:dyDescent="0.25">
      <c r="B29" s="24">
        <v>25</v>
      </c>
      <c r="C29" s="106"/>
      <c r="D29" s="112"/>
      <c r="E29" s="112"/>
      <c r="F29" s="119"/>
      <c r="G29" s="120"/>
      <c r="H29" s="121"/>
      <c r="I29" s="110" t="s">
        <v>50</v>
      </c>
      <c r="J29" s="110"/>
      <c r="K29" s="110"/>
      <c r="L29" s="110"/>
    </row>
    <row r="30" spans="2:12" ht="30" customHeight="1" x14ac:dyDescent="0.25">
      <c r="B30" s="24">
        <v>26</v>
      </c>
      <c r="C30" s="106"/>
      <c r="D30" s="112"/>
      <c r="E30" s="112"/>
      <c r="F30" s="119"/>
      <c r="G30" s="125" t="s">
        <v>41</v>
      </c>
      <c r="H30" s="124"/>
      <c r="I30" s="102">
        <f>VLOOKUP(B30,Tbl_Code[],$G$4+1)</f>
        <v>0.46</v>
      </c>
      <c r="J30" s="103"/>
      <c r="K30" s="103"/>
      <c r="L30" s="104"/>
    </row>
    <row r="31" spans="2:12" ht="30" customHeight="1" x14ac:dyDescent="0.25">
      <c r="B31" s="24">
        <v>27</v>
      </c>
      <c r="C31" s="106"/>
      <c r="D31" s="112"/>
      <c r="E31" s="112"/>
      <c r="F31" s="119"/>
      <c r="G31" s="125" t="s">
        <v>40</v>
      </c>
      <c r="H31" s="124"/>
      <c r="I31" s="102">
        <f>VLOOKUP(B31,Tbl_Code[],$G$4+1)</f>
        <v>0.22</v>
      </c>
      <c r="J31" s="103"/>
      <c r="K31" s="103"/>
      <c r="L31" s="104"/>
    </row>
    <row r="32" spans="2:12" x14ac:dyDescent="0.25">
      <c r="B32" s="24">
        <v>28</v>
      </c>
      <c r="C32" s="106"/>
      <c r="D32" s="112"/>
      <c r="E32" s="112"/>
      <c r="F32" s="119"/>
      <c r="G32" s="125" t="s">
        <v>38</v>
      </c>
      <c r="H32" s="124"/>
      <c r="I32" s="102">
        <f>VLOOKUP(B32,Tbl_Code[],$G$4+1)</f>
        <v>0.32</v>
      </c>
      <c r="J32" s="103"/>
      <c r="K32" s="103"/>
      <c r="L32" s="104"/>
    </row>
    <row r="33" spans="2:12" ht="22.5" customHeight="1" x14ac:dyDescent="0.25">
      <c r="B33" s="24">
        <v>29</v>
      </c>
      <c r="C33" s="106"/>
      <c r="D33" s="112"/>
      <c r="E33" s="112"/>
      <c r="F33" s="119"/>
      <c r="G33" s="120"/>
      <c r="H33" s="121"/>
      <c r="I33" s="110" t="s">
        <v>49</v>
      </c>
      <c r="J33" s="110"/>
      <c r="K33" s="110"/>
      <c r="L33" s="110"/>
    </row>
    <row r="34" spans="2:12" ht="30" customHeight="1" x14ac:dyDescent="0.25">
      <c r="B34" s="24">
        <v>30</v>
      </c>
      <c r="C34" s="106"/>
      <c r="D34" s="112"/>
      <c r="E34" s="112"/>
      <c r="F34" s="119"/>
      <c r="G34" s="125" t="s">
        <v>41</v>
      </c>
      <c r="H34" s="124"/>
      <c r="I34" s="102">
        <f>VLOOKUP(B34,Tbl_Code[],$G$4+1)</f>
        <v>0.45</v>
      </c>
      <c r="J34" s="103"/>
      <c r="K34" s="103"/>
      <c r="L34" s="104"/>
    </row>
    <row r="35" spans="2:12" ht="30" customHeight="1" x14ac:dyDescent="0.25">
      <c r="B35" s="24">
        <v>31</v>
      </c>
      <c r="C35" s="106"/>
      <c r="D35" s="112"/>
      <c r="E35" s="112"/>
      <c r="F35" s="119"/>
      <c r="G35" s="125" t="s">
        <v>40</v>
      </c>
      <c r="H35" s="124"/>
      <c r="I35" s="102">
        <f>VLOOKUP(B35,Tbl_Code[],$G$4+1)</f>
        <v>0.23</v>
      </c>
      <c r="J35" s="103"/>
      <c r="K35" s="103"/>
      <c r="L35" s="104"/>
    </row>
    <row r="36" spans="2:12" x14ac:dyDescent="0.25">
      <c r="B36" s="24">
        <v>32</v>
      </c>
      <c r="C36" s="106"/>
      <c r="D36" s="112"/>
      <c r="E36" s="112"/>
      <c r="F36" s="119"/>
      <c r="G36" s="125" t="s">
        <v>38</v>
      </c>
      <c r="H36" s="124"/>
      <c r="I36" s="102">
        <f>VLOOKUP(B36,Tbl_Code[],$G$4+1)</f>
        <v>0.17</v>
      </c>
      <c r="J36" s="103"/>
      <c r="K36" s="103"/>
      <c r="L36" s="104"/>
    </row>
    <row r="37" spans="2:12" x14ac:dyDescent="0.25">
      <c r="B37" s="24">
        <v>33</v>
      </c>
      <c r="C37" s="106"/>
      <c r="D37" s="112"/>
      <c r="E37" s="112"/>
      <c r="F37" s="30" t="s">
        <v>36</v>
      </c>
      <c r="G37" s="122"/>
      <c r="H37" s="120"/>
      <c r="I37" s="115">
        <f>VLOOKUP(B37,Tbl_Code[],$G$4+1)</f>
        <v>0.4</v>
      </c>
      <c r="J37" s="116"/>
      <c r="K37" s="116"/>
      <c r="L37" s="117"/>
    </row>
    <row r="38" spans="2:12" x14ac:dyDescent="0.25">
      <c r="B38" s="24">
        <v>34</v>
      </c>
      <c r="C38" s="106"/>
      <c r="D38" s="112"/>
      <c r="E38" s="118"/>
      <c r="F38" s="29"/>
      <c r="G38" s="122"/>
      <c r="H38" s="122"/>
      <c r="I38" s="111" t="s">
        <v>48</v>
      </c>
      <c r="J38" s="111"/>
      <c r="K38" s="111"/>
      <c r="L38" s="111"/>
    </row>
    <row r="39" spans="2:12" ht="30" x14ac:dyDescent="0.25">
      <c r="B39" s="24">
        <v>35</v>
      </c>
      <c r="C39" s="106"/>
      <c r="D39" s="113"/>
      <c r="E39" s="112" t="s">
        <v>47</v>
      </c>
      <c r="F39" s="119" t="s">
        <v>46</v>
      </c>
      <c r="G39" s="122"/>
      <c r="H39" s="122"/>
      <c r="I39" s="32" t="s">
        <v>45</v>
      </c>
      <c r="J39" s="32" t="s">
        <v>44</v>
      </c>
      <c r="K39" s="32" t="s">
        <v>43</v>
      </c>
      <c r="L39" s="63" t="s">
        <v>42</v>
      </c>
    </row>
    <row r="40" spans="2:12" x14ac:dyDescent="0.25">
      <c r="B40" s="24">
        <v>36</v>
      </c>
      <c r="C40" s="106"/>
      <c r="D40" s="113"/>
      <c r="E40" s="112"/>
      <c r="F40" s="119"/>
      <c r="G40" s="123" t="s">
        <v>41</v>
      </c>
      <c r="H40" s="124"/>
      <c r="I40" s="94">
        <v>0.57999999999999996</v>
      </c>
      <c r="J40" s="95">
        <v>0.46</v>
      </c>
      <c r="K40" s="95">
        <v>0.88</v>
      </c>
      <c r="L40" s="96">
        <v>0.88</v>
      </c>
    </row>
    <row r="41" spans="2:12" x14ac:dyDescent="0.25">
      <c r="B41" s="24">
        <v>37</v>
      </c>
      <c r="C41" s="106"/>
      <c r="D41" s="113"/>
      <c r="E41" s="112"/>
      <c r="F41" s="119"/>
      <c r="G41" s="123" t="s">
        <v>40</v>
      </c>
      <c r="H41" s="124"/>
      <c r="I41" s="94">
        <v>0.25</v>
      </c>
      <c r="J41" s="95">
        <v>0.25</v>
      </c>
      <c r="K41" s="95" t="s">
        <v>39</v>
      </c>
      <c r="L41" s="96" t="s">
        <v>39</v>
      </c>
    </row>
    <row r="42" spans="2:12" ht="15" customHeight="1" x14ac:dyDescent="0.25">
      <c r="B42" s="24">
        <v>38</v>
      </c>
      <c r="C42" s="106"/>
      <c r="D42" s="113"/>
      <c r="E42" s="112"/>
      <c r="F42" s="119"/>
      <c r="G42" s="123" t="s">
        <v>38</v>
      </c>
      <c r="H42" s="124"/>
      <c r="I42" s="102">
        <v>0.49</v>
      </c>
      <c r="J42" s="103">
        <v>0.49</v>
      </c>
      <c r="K42" s="103">
        <v>0.64</v>
      </c>
      <c r="L42" s="104">
        <v>0.38</v>
      </c>
    </row>
    <row r="43" spans="2:12" ht="18" x14ac:dyDescent="0.35">
      <c r="B43" s="24">
        <v>39</v>
      </c>
      <c r="C43" s="106"/>
      <c r="D43" s="113"/>
      <c r="E43" s="112"/>
      <c r="F43" s="119"/>
      <c r="G43" s="122" t="s">
        <v>37</v>
      </c>
      <c r="H43" s="120"/>
      <c r="I43" s="102"/>
      <c r="J43" s="103"/>
      <c r="K43" s="103"/>
      <c r="L43" s="104"/>
    </row>
    <row r="44" spans="2:12" x14ac:dyDescent="0.25">
      <c r="B44" s="24">
        <v>40</v>
      </c>
      <c r="C44" s="108"/>
      <c r="D44" s="113"/>
      <c r="E44" s="112"/>
      <c r="F44" s="25" t="s">
        <v>36</v>
      </c>
      <c r="G44" s="126"/>
      <c r="H44" s="127"/>
      <c r="I44" s="114">
        <v>0.05</v>
      </c>
      <c r="J44" s="103"/>
      <c r="K44" s="103"/>
      <c r="L44" s="104"/>
    </row>
  </sheetData>
  <mergeCells count="63">
    <mergeCell ref="D14:D17"/>
    <mergeCell ref="D19:E20"/>
    <mergeCell ref="E5:E6"/>
    <mergeCell ref="E7:E11"/>
    <mergeCell ref="E12:E13"/>
    <mergeCell ref="E14:E15"/>
    <mergeCell ref="E16:E17"/>
    <mergeCell ref="D5:D13"/>
    <mergeCell ref="G21:H21"/>
    <mergeCell ref="G22:H22"/>
    <mergeCell ref="G23:H23"/>
    <mergeCell ref="G24:H24"/>
    <mergeCell ref="D18:F18"/>
    <mergeCell ref="G43:H43"/>
    <mergeCell ref="G35:H35"/>
    <mergeCell ref="G25:H25"/>
    <mergeCell ref="G26:H26"/>
    <mergeCell ref="G27:H27"/>
    <mergeCell ref="G28:H28"/>
    <mergeCell ref="G36:H36"/>
    <mergeCell ref="G37:H37"/>
    <mergeCell ref="E39:E44"/>
    <mergeCell ref="E21:E38"/>
    <mergeCell ref="F22:F36"/>
    <mergeCell ref="G29:H29"/>
    <mergeCell ref="G38:H38"/>
    <mergeCell ref="G39:H39"/>
    <mergeCell ref="G40:H40"/>
    <mergeCell ref="G41:H41"/>
    <mergeCell ref="G30:H30"/>
    <mergeCell ref="G31:H31"/>
    <mergeCell ref="G44:H44"/>
    <mergeCell ref="F39:F43"/>
    <mergeCell ref="G32:H32"/>
    <mergeCell ref="G33:H33"/>
    <mergeCell ref="G34:H34"/>
    <mergeCell ref="G42:H42"/>
    <mergeCell ref="C5:C20"/>
    <mergeCell ref="C21:C44"/>
    <mergeCell ref="I21:L21"/>
    <mergeCell ref="I25:L25"/>
    <mergeCell ref="I29:L29"/>
    <mergeCell ref="I33:L33"/>
    <mergeCell ref="I38:L38"/>
    <mergeCell ref="I32:L32"/>
    <mergeCell ref="I34:L34"/>
    <mergeCell ref="D21:D44"/>
    <mergeCell ref="I44:L44"/>
    <mergeCell ref="I22:L22"/>
    <mergeCell ref="I35:L35"/>
    <mergeCell ref="I36:L36"/>
    <mergeCell ref="I37:L37"/>
    <mergeCell ref="I28:L28"/>
    <mergeCell ref="I23:L23"/>
    <mergeCell ref="I24:L24"/>
    <mergeCell ref="I26:L26"/>
    <mergeCell ref="I27:L27"/>
    <mergeCell ref="L42:L43"/>
    <mergeCell ref="I42:I43"/>
    <mergeCell ref="J42:J43"/>
    <mergeCell ref="K42:K43"/>
    <mergeCell ref="I30:L30"/>
    <mergeCell ref="I31:L3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Fill">
                <anchor moveWithCells="1" sizeWithCells="1">
                  <from>
                    <xdr:col>3</xdr:col>
                    <xdr:colOff>419100</xdr:colOff>
                    <xdr:row>0</xdr:row>
                    <xdr:rowOff>123825</xdr:rowOff>
                  </from>
                  <to>
                    <xdr:col>4</xdr:col>
                    <xdr:colOff>447675</xdr:colOff>
                    <xdr:row>2</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41654-DEE1-4ED9-AD13-C5D611A910E9}">
  <sheetPr codeName="Sheet2"/>
  <dimension ref="A1:W35"/>
  <sheetViews>
    <sheetView workbookViewId="0">
      <selection activeCell="F13" sqref="F13"/>
    </sheetView>
  </sheetViews>
  <sheetFormatPr defaultRowHeight="15" x14ac:dyDescent="0.25"/>
  <cols>
    <col min="7" max="7" width="7" customWidth="1"/>
    <col min="23" max="23" width="6.42578125" customWidth="1"/>
  </cols>
  <sheetData>
    <row r="1" spans="1:23" x14ac:dyDescent="0.25">
      <c r="G1" s="139" t="s">
        <v>98</v>
      </c>
      <c r="H1" s="139"/>
      <c r="I1" s="139"/>
      <c r="J1" s="139"/>
      <c r="K1" s="139"/>
      <c r="L1" s="139"/>
      <c r="M1" s="139"/>
      <c r="N1" s="139"/>
      <c r="O1" s="139"/>
      <c r="P1" s="139"/>
      <c r="Q1" s="139"/>
      <c r="R1" s="139"/>
      <c r="S1" s="139"/>
      <c r="T1" s="139"/>
      <c r="U1" s="139"/>
      <c r="V1" s="139"/>
    </row>
    <row r="2" spans="1:23" ht="30" customHeight="1" x14ac:dyDescent="0.25">
      <c r="G2" s="58" t="s">
        <v>78</v>
      </c>
      <c r="H2" s="59" t="s">
        <v>97</v>
      </c>
      <c r="I2" s="58" t="s">
        <v>96</v>
      </c>
      <c r="J2" s="58" t="s">
        <v>95</v>
      </c>
      <c r="K2" s="58" t="s">
        <v>94</v>
      </c>
      <c r="L2" s="58" t="s">
        <v>93</v>
      </c>
      <c r="M2" s="58" t="s">
        <v>92</v>
      </c>
      <c r="N2" s="58" t="s">
        <v>91</v>
      </c>
      <c r="O2" s="58" t="s">
        <v>90</v>
      </c>
      <c r="P2" s="58" t="s">
        <v>89</v>
      </c>
      <c r="Q2" s="58" t="s">
        <v>88</v>
      </c>
      <c r="R2" s="58" t="s">
        <v>87</v>
      </c>
      <c r="S2" s="58" t="s">
        <v>86</v>
      </c>
      <c r="T2" s="58" t="s">
        <v>85</v>
      </c>
      <c r="U2" s="58" t="s">
        <v>84</v>
      </c>
      <c r="V2" s="58" t="s">
        <v>83</v>
      </c>
      <c r="W2" s="57" t="s">
        <v>82</v>
      </c>
    </row>
    <row r="3" spans="1:23" ht="30" x14ac:dyDescent="0.25">
      <c r="A3" s="134" t="s">
        <v>55</v>
      </c>
      <c r="B3" s="133" t="s">
        <v>76</v>
      </c>
      <c r="C3" s="140" t="s">
        <v>75</v>
      </c>
      <c r="D3" s="50" t="s">
        <v>74</v>
      </c>
      <c r="E3" s="56"/>
      <c r="F3" s="56"/>
      <c r="G3" s="55">
        <v>1</v>
      </c>
      <c r="H3" s="54">
        <v>4.1000000000000002E-2</v>
      </c>
      <c r="I3" s="53">
        <v>4.1000000000000002E-2</v>
      </c>
      <c r="J3" s="53">
        <v>4.1000000000000002E-2</v>
      </c>
      <c r="K3" s="53">
        <v>4.1000000000000002E-2</v>
      </c>
      <c r="L3" s="53">
        <v>4.1000000000000002E-2</v>
      </c>
      <c r="M3" s="53">
        <v>4.1000000000000002E-2</v>
      </c>
      <c r="N3" s="53">
        <v>4.1000000000000002E-2</v>
      </c>
      <c r="O3" s="53">
        <v>4.1000000000000002E-2</v>
      </c>
      <c r="P3" s="53">
        <v>4.1000000000000002E-2</v>
      </c>
      <c r="Q3" s="53">
        <v>4.1000000000000002E-2</v>
      </c>
      <c r="R3" s="53">
        <v>4.1000000000000002E-2</v>
      </c>
      <c r="S3" s="53">
        <v>4.1000000000000002E-2</v>
      </c>
      <c r="T3" s="53">
        <v>4.1000000000000002E-2</v>
      </c>
      <c r="U3" s="53">
        <v>4.1000000000000002E-2</v>
      </c>
      <c r="V3" s="53">
        <v>4.1000000000000002E-2</v>
      </c>
      <c r="W3" s="52">
        <v>4.1000000000000002E-2</v>
      </c>
    </row>
    <row r="4" spans="1:23" ht="60" x14ac:dyDescent="0.25">
      <c r="A4" s="135"/>
      <c r="B4" s="133"/>
      <c r="C4" s="140"/>
      <c r="D4" s="50" t="s">
        <v>68</v>
      </c>
      <c r="E4" s="50"/>
      <c r="F4" s="50"/>
      <c r="G4" s="43">
        <v>2</v>
      </c>
      <c r="H4" s="54">
        <v>3.4000000000000002E-2</v>
      </c>
      <c r="I4" s="53">
        <v>3.4000000000000002E-2</v>
      </c>
      <c r="J4" s="53">
        <v>3.4000000000000002E-2</v>
      </c>
      <c r="K4" s="53">
        <v>3.4000000000000002E-2</v>
      </c>
      <c r="L4" s="53">
        <v>3.4000000000000002E-2</v>
      </c>
      <c r="M4" s="53">
        <v>4.9000000000000002E-2</v>
      </c>
      <c r="N4" s="53">
        <v>4.9000000000000002E-2</v>
      </c>
      <c r="O4" s="53">
        <v>4.9000000000000002E-2</v>
      </c>
      <c r="P4" s="53">
        <v>3.4000000000000002E-2</v>
      </c>
      <c r="Q4" s="53">
        <v>3.4000000000000002E-2</v>
      </c>
      <c r="R4" s="53">
        <v>3.4000000000000002E-2</v>
      </c>
      <c r="S4" s="53">
        <v>3.4000000000000002E-2</v>
      </c>
      <c r="T4" s="53">
        <v>3.4000000000000002E-2</v>
      </c>
      <c r="U4" s="53">
        <v>3.4000000000000002E-2</v>
      </c>
      <c r="V4" s="53">
        <v>3.4000000000000002E-2</v>
      </c>
      <c r="W4" s="52">
        <v>3.4000000000000002E-2</v>
      </c>
    </row>
    <row r="5" spans="1:23" ht="30" x14ac:dyDescent="0.25">
      <c r="A5" s="135"/>
      <c r="B5" s="133"/>
      <c r="C5" s="140" t="s">
        <v>73</v>
      </c>
      <c r="D5" s="50" t="s">
        <v>72</v>
      </c>
      <c r="E5" s="50"/>
      <c r="F5" s="50"/>
      <c r="G5" s="43">
        <v>3</v>
      </c>
      <c r="H5" s="54">
        <v>0.113</v>
      </c>
      <c r="I5" s="53">
        <v>6.0999999999999999E-2</v>
      </c>
      <c r="J5" s="53">
        <v>0.113</v>
      </c>
      <c r="K5" s="53">
        <v>6.0999999999999999E-2</v>
      </c>
      <c r="L5" s="53">
        <v>6.0999999999999999E-2</v>
      </c>
      <c r="M5" s="53">
        <v>0.113</v>
      </c>
      <c r="N5" s="53">
        <v>0.113</v>
      </c>
      <c r="O5" s="53">
        <v>6.0999999999999999E-2</v>
      </c>
      <c r="P5" s="53">
        <v>6.0999999999999999E-2</v>
      </c>
      <c r="Q5" s="53">
        <v>6.0999999999999999E-2</v>
      </c>
      <c r="R5" s="53">
        <v>6.0999999999999999E-2</v>
      </c>
      <c r="S5" s="53">
        <v>6.0999999999999999E-2</v>
      </c>
      <c r="T5" s="53">
        <v>6.0999999999999999E-2</v>
      </c>
      <c r="U5" s="53">
        <v>6.0999999999999999E-2</v>
      </c>
      <c r="V5" s="53">
        <v>5.7000000000000002E-2</v>
      </c>
      <c r="W5" s="52">
        <v>6.0999999999999999E-2</v>
      </c>
    </row>
    <row r="6" spans="1:23" ht="30" x14ac:dyDescent="0.25">
      <c r="A6" s="135"/>
      <c r="B6" s="133"/>
      <c r="C6" s="140"/>
      <c r="D6" s="50" t="s">
        <v>71</v>
      </c>
      <c r="E6" s="50"/>
      <c r="F6" s="50"/>
      <c r="G6" s="43">
        <v>4</v>
      </c>
      <c r="H6" s="54">
        <v>0.06</v>
      </c>
      <c r="I6" s="53">
        <v>5.5E-2</v>
      </c>
      <c r="J6" s="53">
        <v>7.0999999999999994E-2</v>
      </c>
      <c r="K6" s="53">
        <v>5.5E-2</v>
      </c>
      <c r="L6" s="53">
        <v>5.5E-2</v>
      </c>
      <c r="M6" s="53">
        <v>0.06</v>
      </c>
      <c r="N6" s="53">
        <v>0.06</v>
      </c>
      <c r="O6" s="53">
        <v>5.5E-2</v>
      </c>
      <c r="P6" s="53">
        <v>5.5E-2</v>
      </c>
      <c r="Q6" s="53">
        <v>5.5E-2</v>
      </c>
      <c r="R6" s="53">
        <v>5.5E-2</v>
      </c>
      <c r="S6" s="53">
        <v>5.5E-2</v>
      </c>
      <c r="T6" s="53">
        <v>5.5E-2</v>
      </c>
      <c r="U6" s="53">
        <v>5.5E-2</v>
      </c>
      <c r="V6" s="53">
        <v>5.5E-2</v>
      </c>
      <c r="W6" s="52">
        <v>5.5E-2</v>
      </c>
    </row>
    <row r="7" spans="1:23" ht="30" x14ac:dyDescent="0.25">
      <c r="A7" s="135"/>
      <c r="B7" s="133"/>
      <c r="C7" s="140"/>
      <c r="D7" s="50" t="s">
        <v>70</v>
      </c>
      <c r="E7" s="50"/>
      <c r="F7" s="50"/>
      <c r="G7" s="43">
        <v>5</v>
      </c>
      <c r="H7" s="54">
        <v>0.19600000000000001</v>
      </c>
      <c r="I7" s="53">
        <v>0.17</v>
      </c>
      <c r="J7" s="53">
        <v>0.27800000000000002</v>
      </c>
      <c r="K7" s="53">
        <v>0.22700000000000001</v>
      </c>
      <c r="L7" s="53">
        <v>0.44</v>
      </c>
      <c r="M7" s="53">
        <v>0.44</v>
      </c>
      <c r="N7" s="53">
        <v>0.44</v>
      </c>
      <c r="O7" s="53">
        <v>0.44</v>
      </c>
      <c r="P7" s="53">
        <v>0.44</v>
      </c>
      <c r="Q7" s="53">
        <v>0.17</v>
      </c>
      <c r="R7" s="53">
        <v>0.17</v>
      </c>
      <c r="S7" s="53">
        <v>0.17</v>
      </c>
      <c r="T7" s="53">
        <v>0.17</v>
      </c>
      <c r="U7" s="53">
        <v>0.17</v>
      </c>
      <c r="V7" s="53">
        <v>0.17</v>
      </c>
      <c r="W7" s="52">
        <v>0.17</v>
      </c>
    </row>
    <row r="8" spans="1:23" ht="30" x14ac:dyDescent="0.25">
      <c r="A8" s="135"/>
      <c r="B8" s="133"/>
      <c r="C8" s="140"/>
      <c r="D8" s="50" t="s">
        <v>69</v>
      </c>
      <c r="E8" s="50"/>
      <c r="F8" s="50"/>
      <c r="G8" s="43">
        <v>6</v>
      </c>
      <c r="H8" s="54">
        <v>0.253</v>
      </c>
      <c r="I8" s="53">
        <v>0.65</v>
      </c>
      <c r="J8" s="53">
        <v>0.65</v>
      </c>
      <c r="K8" s="53">
        <v>0.65</v>
      </c>
      <c r="L8" s="53">
        <v>0.65</v>
      </c>
      <c r="M8" s="53">
        <v>0.69</v>
      </c>
      <c r="N8" s="53">
        <v>0.69</v>
      </c>
      <c r="O8" s="53">
        <v>0.69</v>
      </c>
      <c r="P8" s="53">
        <v>0.69</v>
      </c>
      <c r="Q8" s="53">
        <v>0.65</v>
      </c>
      <c r="R8" s="53">
        <v>0.184</v>
      </c>
      <c r="S8" s="53">
        <v>0.253</v>
      </c>
      <c r="T8" s="53">
        <v>0.21099999999999999</v>
      </c>
      <c r="U8" s="53">
        <v>0.184</v>
      </c>
      <c r="V8" s="53">
        <v>0.184</v>
      </c>
      <c r="W8" s="52">
        <v>0.16</v>
      </c>
    </row>
    <row r="9" spans="1:23" ht="60" x14ac:dyDescent="0.25">
      <c r="A9" s="135"/>
      <c r="B9" s="133"/>
      <c r="C9" s="140"/>
      <c r="D9" s="50" t="s">
        <v>68</v>
      </c>
      <c r="E9" s="50"/>
      <c r="F9" s="50"/>
      <c r="G9" s="43">
        <v>7</v>
      </c>
      <c r="H9" s="54">
        <v>9.5000000000000001E-2</v>
      </c>
      <c r="I9" s="53">
        <v>5.8999999999999997E-2</v>
      </c>
      <c r="J9" s="53">
        <v>0.11</v>
      </c>
      <c r="K9" s="53">
        <v>5.8999999999999997E-2</v>
      </c>
      <c r="L9" s="53">
        <v>0.10199999999999999</v>
      </c>
      <c r="M9" s="53">
        <v>0.11</v>
      </c>
      <c r="N9" s="53">
        <v>0.11</v>
      </c>
      <c r="O9" s="53">
        <v>0.10199999999999999</v>
      </c>
      <c r="P9" s="53">
        <v>5.8999999999999997E-2</v>
      </c>
      <c r="Q9" s="53">
        <v>5.8999999999999997E-2</v>
      </c>
      <c r="R9" s="53">
        <v>4.4999999999999998E-2</v>
      </c>
      <c r="S9" s="53">
        <v>5.8999999999999997E-2</v>
      </c>
      <c r="T9" s="53">
        <v>5.8999999999999997E-2</v>
      </c>
      <c r="U9" s="53">
        <v>5.8999999999999997E-2</v>
      </c>
      <c r="V9" s="53">
        <v>4.2000000000000003E-2</v>
      </c>
      <c r="W9" s="52">
        <v>5.8999999999999997E-2</v>
      </c>
    </row>
    <row r="10" spans="1:23" ht="30" x14ac:dyDescent="0.25">
      <c r="A10" s="135"/>
      <c r="B10" s="133"/>
      <c r="C10" s="140" t="s">
        <v>67</v>
      </c>
      <c r="D10" s="50" t="s">
        <v>66</v>
      </c>
      <c r="E10" s="50"/>
      <c r="F10" s="50"/>
      <c r="G10" s="43">
        <v>8</v>
      </c>
      <c r="H10" s="54">
        <v>9.1999999999999998E-2</v>
      </c>
      <c r="I10" s="53">
        <v>9.1999999999999998E-2</v>
      </c>
      <c r="J10" s="53">
        <v>0.26900000000000002</v>
      </c>
      <c r="K10" s="53">
        <v>0.26900000000000002</v>
      </c>
      <c r="L10" s="53">
        <v>0.26900000000000002</v>
      </c>
      <c r="M10" s="53">
        <v>0.26900000000000002</v>
      </c>
      <c r="N10" s="53">
        <v>0.26900000000000002</v>
      </c>
      <c r="O10" s="53">
        <v>0.26900000000000002</v>
      </c>
      <c r="P10" s="53">
        <v>0.26900000000000002</v>
      </c>
      <c r="Q10" s="53">
        <v>0.26900000000000002</v>
      </c>
      <c r="R10" s="53">
        <v>9.1999999999999998E-2</v>
      </c>
      <c r="S10" s="53">
        <v>9.1999999999999998E-2</v>
      </c>
      <c r="T10" s="53">
        <v>9.1999999999999998E-2</v>
      </c>
      <c r="U10" s="53">
        <v>9.1999999999999998E-2</v>
      </c>
      <c r="V10" s="53">
        <v>9.1999999999999998E-2</v>
      </c>
      <c r="W10" s="52">
        <v>5.8000000000000003E-2</v>
      </c>
    </row>
    <row r="11" spans="1:23" x14ac:dyDescent="0.25">
      <c r="A11" s="135"/>
      <c r="B11" s="133"/>
      <c r="C11" s="140"/>
      <c r="D11" s="50" t="s">
        <v>65</v>
      </c>
      <c r="E11" s="50"/>
      <c r="F11" s="50"/>
      <c r="G11" s="43">
        <v>9</v>
      </c>
      <c r="H11" s="54">
        <v>4.8000000000000001E-2</v>
      </c>
      <c r="I11" s="53">
        <v>3.9E-2</v>
      </c>
      <c r="J11" s="53">
        <v>7.0999999999999994E-2</v>
      </c>
      <c r="K11" s="53">
        <v>7.0999999999999994E-2</v>
      </c>
      <c r="L11" s="53">
        <v>7.0999999999999994E-2</v>
      </c>
      <c r="M11" s="53">
        <v>7.0999999999999994E-2</v>
      </c>
      <c r="N11" s="53">
        <v>7.0999999999999994E-2</v>
      </c>
      <c r="O11" s="53">
        <v>7.0999999999999994E-2</v>
      </c>
      <c r="P11" s="53">
        <v>7.0999999999999994E-2</v>
      </c>
      <c r="Q11" s="53">
        <v>7.0999999999999994E-2</v>
      </c>
      <c r="R11" s="53">
        <v>3.9E-2</v>
      </c>
      <c r="S11" s="53">
        <v>7.0999999999999994E-2</v>
      </c>
      <c r="T11" s="53">
        <v>7.0999999999999994E-2</v>
      </c>
      <c r="U11" s="53">
        <v>3.9E-2</v>
      </c>
      <c r="V11" s="53">
        <v>3.9E-2</v>
      </c>
      <c r="W11" s="52">
        <v>3.9E-2</v>
      </c>
    </row>
    <row r="12" spans="1:23" ht="60" x14ac:dyDescent="0.25">
      <c r="A12" s="135"/>
      <c r="B12" s="133" t="s">
        <v>64</v>
      </c>
      <c r="C12" s="140" t="s">
        <v>63</v>
      </c>
      <c r="D12" s="50" t="s">
        <v>61</v>
      </c>
      <c r="E12" s="50"/>
      <c r="F12" s="50"/>
      <c r="G12" s="43">
        <v>10</v>
      </c>
      <c r="H12" s="54">
        <v>0.63</v>
      </c>
      <c r="I12" s="44">
        <v>0.63</v>
      </c>
      <c r="J12" s="44">
        <v>0.63</v>
      </c>
      <c r="K12" s="44">
        <v>0.63</v>
      </c>
      <c r="L12" s="44">
        <v>0.63</v>
      </c>
      <c r="M12" s="44">
        <v>0.63</v>
      </c>
      <c r="N12" s="44">
        <v>0.63</v>
      </c>
      <c r="O12" s="44">
        <v>0.63</v>
      </c>
      <c r="P12" s="44">
        <v>0.63</v>
      </c>
      <c r="Q12" s="44">
        <v>0.63</v>
      </c>
      <c r="R12" s="44">
        <v>0.63</v>
      </c>
      <c r="S12" s="44">
        <v>0.63</v>
      </c>
      <c r="T12" s="44">
        <v>0.63</v>
      </c>
      <c r="U12" s="44">
        <v>0.63</v>
      </c>
      <c r="V12" s="44">
        <v>0.63</v>
      </c>
      <c r="W12" s="51">
        <v>0.63</v>
      </c>
    </row>
    <row r="13" spans="1:23" ht="45" x14ac:dyDescent="0.25">
      <c r="A13" s="135"/>
      <c r="B13" s="133"/>
      <c r="C13" s="140"/>
      <c r="D13" s="50" t="s">
        <v>60</v>
      </c>
      <c r="E13" s="50"/>
      <c r="F13" s="50"/>
      <c r="G13" s="43">
        <v>11</v>
      </c>
      <c r="H13" s="54">
        <v>0.75</v>
      </c>
      <c r="I13" s="44">
        <v>0.75</v>
      </c>
      <c r="J13" s="44">
        <v>0.75</v>
      </c>
      <c r="K13" s="44">
        <v>0.75</v>
      </c>
      <c r="L13" s="44">
        <v>0.75</v>
      </c>
      <c r="M13" s="44">
        <v>0.75</v>
      </c>
      <c r="N13" s="44">
        <v>0.75</v>
      </c>
      <c r="O13" s="44">
        <v>0.75</v>
      </c>
      <c r="P13" s="44">
        <v>0.75</v>
      </c>
      <c r="Q13" s="44">
        <v>0.75</v>
      </c>
      <c r="R13" s="44">
        <v>0.75</v>
      </c>
      <c r="S13" s="44">
        <v>0.75</v>
      </c>
      <c r="T13" s="44">
        <v>0.75</v>
      </c>
      <c r="U13" s="44">
        <v>0.75</v>
      </c>
      <c r="V13" s="44">
        <v>0.75</v>
      </c>
      <c r="W13" s="51">
        <v>0.75</v>
      </c>
    </row>
    <row r="14" spans="1:23" ht="60" x14ac:dyDescent="0.25">
      <c r="A14" s="135"/>
      <c r="B14" s="133"/>
      <c r="C14" s="140" t="s">
        <v>62</v>
      </c>
      <c r="D14" s="50" t="s">
        <v>61</v>
      </c>
      <c r="E14" s="50"/>
      <c r="F14" s="50"/>
      <c r="G14" s="43">
        <v>12</v>
      </c>
      <c r="H14" s="54">
        <v>0.2</v>
      </c>
      <c r="I14" s="44">
        <v>0.25</v>
      </c>
      <c r="J14" s="44">
        <v>0.2</v>
      </c>
      <c r="K14" s="44">
        <v>0.25</v>
      </c>
      <c r="L14" s="44">
        <v>0.25</v>
      </c>
      <c r="M14" s="44">
        <v>0.25</v>
      </c>
      <c r="N14" s="44">
        <v>0.25</v>
      </c>
      <c r="O14" s="44">
        <v>0.25</v>
      </c>
      <c r="P14" s="44">
        <v>0.25</v>
      </c>
      <c r="Q14" s="44">
        <v>0.25</v>
      </c>
      <c r="R14" s="44">
        <v>0.25</v>
      </c>
      <c r="S14" s="44">
        <v>0.25</v>
      </c>
      <c r="T14" s="44">
        <v>0.25</v>
      </c>
      <c r="U14" s="44">
        <v>0.25</v>
      </c>
      <c r="V14" s="44">
        <v>0.25</v>
      </c>
      <c r="W14" s="51">
        <v>0.25</v>
      </c>
    </row>
    <row r="15" spans="1:23" ht="45" x14ac:dyDescent="0.25">
      <c r="A15" s="135"/>
      <c r="B15" s="133"/>
      <c r="C15" s="140"/>
      <c r="D15" s="50" t="s">
        <v>60</v>
      </c>
      <c r="E15" s="50"/>
      <c r="F15" s="50"/>
      <c r="G15" s="43">
        <v>13</v>
      </c>
      <c r="H15" s="42">
        <v>0.75</v>
      </c>
      <c r="I15" s="44">
        <v>0.8</v>
      </c>
      <c r="J15" s="44">
        <v>0.75</v>
      </c>
      <c r="K15" s="44">
        <v>0.8</v>
      </c>
      <c r="L15" s="44">
        <v>0.8</v>
      </c>
      <c r="M15" s="44">
        <v>0.8</v>
      </c>
      <c r="N15" s="44">
        <v>0.8</v>
      </c>
      <c r="O15" s="44">
        <v>0.8</v>
      </c>
      <c r="P15" s="44">
        <v>0.8</v>
      </c>
      <c r="Q15" s="44">
        <v>0.8</v>
      </c>
      <c r="R15" s="44">
        <v>0.8</v>
      </c>
      <c r="S15" s="44">
        <v>0.8</v>
      </c>
      <c r="T15" s="44">
        <v>0.8</v>
      </c>
      <c r="U15" s="44">
        <v>0.8</v>
      </c>
      <c r="V15" s="44">
        <v>0.8</v>
      </c>
      <c r="W15" s="51">
        <v>0.8</v>
      </c>
    </row>
    <row r="16" spans="1:23" ht="30" customHeight="1" x14ac:dyDescent="0.25">
      <c r="A16" s="135"/>
      <c r="B16" s="132" t="s">
        <v>59</v>
      </c>
      <c r="C16" s="132"/>
      <c r="D16" s="132"/>
      <c r="E16" s="34"/>
      <c r="F16" s="34"/>
      <c r="G16" s="43">
        <v>14</v>
      </c>
      <c r="H16" s="54" t="s">
        <v>81</v>
      </c>
      <c r="I16" s="53" t="s">
        <v>81</v>
      </c>
      <c r="J16" s="53" t="s">
        <v>81</v>
      </c>
      <c r="K16" s="53" t="s">
        <v>81</v>
      </c>
      <c r="L16" s="53" t="s">
        <v>81</v>
      </c>
      <c r="M16" s="53" t="s">
        <v>81</v>
      </c>
      <c r="N16" s="53" t="s">
        <v>81</v>
      </c>
      <c r="O16" s="53" t="s">
        <v>81</v>
      </c>
      <c r="P16" s="53" t="s">
        <v>81</v>
      </c>
      <c r="Q16" s="53" t="s">
        <v>81</v>
      </c>
      <c r="R16" s="53" t="s">
        <v>81</v>
      </c>
      <c r="S16" s="53" t="s">
        <v>81</v>
      </c>
      <c r="T16" s="53" t="s">
        <v>81</v>
      </c>
      <c r="U16" s="53" t="s">
        <v>81</v>
      </c>
      <c r="V16" s="53" t="s">
        <v>81</v>
      </c>
      <c r="W16" s="52" t="s">
        <v>81</v>
      </c>
    </row>
    <row r="17" spans="1:23" ht="30" x14ac:dyDescent="0.25">
      <c r="A17" s="135"/>
      <c r="B17" s="133" t="s">
        <v>58</v>
      </c>
      <c r="C17" s="133"/>
      <c r="D17" s="50" t="s">
        <v>57</v>
      </c>
      <c r="E17" s="50"/>
      <c r="F17" s="50"/>
      <c r="G17" s="43">
        <v>15</v>
      </c>
      <c r="H17" s="42">
        <v>0.5</v>
      </c>
      <c r="I17" s="44">
        <v>1.45</v>
      </c>
      <c r="J17" s="44">
        <v>1.45</v>
      </c>
      <c r="K17" s="44">
        <v>1.45</v>
      </c>
      <c r="L17" s="44">
        <v>1.45</v>
      </c>
      <c r="M17" s="44">
        <v>1.45</v>
      </c>
      <c r="N17" s="44">
        <v>1.45</v>
      </c>
      <c r="O17" s="44">
        <v>1.45</v>
      </c>
      <c r="P17" s="44">
        <v>1.45</v>
      </c>
      <c r="Q17" s="44">
        <v>1.45</v>
      </c>
      <c r="R17" s="44">
        <v>1.45</v>
      </c>
      <c r="S17" s="44">
        <v>1.45</v>
      </c>
      <c r="T17" s="44">
        <v>1.45</v>
      </c>
      <c r="U17" s="44">
        <v>1.45</v>
      </c>
      <c r="V17" s="44">
        <v>1.45</v>
      </c>
      <c r="W17" s="51">
        <v>0.5</v>
      </c>
    </row>
    <row r="18" spans="1:23" x14ac:dyDescent="0.25">
      <c r="A18" s="135"/>
      <c r="B18" s="133"/>
      <c r="C18" s="133"/>
      <c r="D18" s="50" t="s">
        <v>56</v>
      </c>
      <c r="E18" s="49"/>
      <c r="F18" s="49"/>
      <c r="G18" s="36">
        <v>16</v>
      </c>
      <c r="H18" s="39">
        <v>0.7</v>
      </c>
      <c r="I18" s="48">
        <v>0.7</v>
      </c>
      <c r="J18" s="48">
        <v>0.7</v>
      </c>
      <c r="K18" s="48">
        <v>0.7</v>
      </c>
      <c r="L18" s="48">
        <v>0.7</v>
      </c>
      <c r="M18" s="48">
        <v>0.7</v>
      </c>
      <c r="N18" s="48">
        <v>0.7</v>
      </c>
      <c r="O18" s="48">
        <v>0.7</v>
      </c>
      <c r="P18" s="48">
        <v>0.7</v>
      </c>
      <c r="Q18" s="48">
        <v>0.7</v>
      </c>
      <c r="R18" s="48">
        <v>0.7</v>
      </c>
      <c r="S18" s="48">
        <v>0.7</v>
      </c>
      <c r="T18" s="48">
        <v>0.7</v>
      </c>
      <c r="U18" s="48">
        <v>0.7</v>
      </c>
      <c r="V18" s="48">
        <v>0.7</v>
      </c>
      <c r="W18" s="47">
        <v>0.7</v>
      </c>
    </row>
    <row r="19" spans="1:23" ht="15" customHeight="1" x14ac:dyDescent="0.25">
      <c r="A19" s="135"/>
      <c r="B19" s="132" t="s">
        <v>54</v>
      </c>
      <c r="C19" s="132" t="s">
        <v>53</v>
      </c>
      <c r="D19" s="2"/>
      <c r="E19" s="136" t="s">
        <v>52</v>
      </c>
      <c r="F19" s="137"/>
      <c r="G19" s="43">
        <v>17</v>
      </c>
      <c r="H19" s="46"/>
      <c r="I19" s="45"/>
      <c r="J19" s="45"/>
      <c r="K19" s="45"/>
      <c r="L19" s="44"/>
      <c r="M19" s="44"/>
      <c r="N19" s="44"/>
      <c r="O19" s="44"/>
      <c r="P19" s="44"/>
      <c r="Q19" s="44"/>
      <c r="R19" s="44"/>
      <c r="S19" s="44"/>
      <c r="T19" s="44"/>
      <c r="U19" s="44"/>
      <c r="V19" s="44"/>
      <c r="W19" s="44"/>
    </row>
    <row r="20" spans="1:23" ht="15" customHeight="1" x14ac:dyDescent="0.25">
      <c r="A20" s="135"/>
      <c r="B20" s="132"/>
      <c r="C20" s="132"/>
      <c r="D20" s="133" t="s">
        <v>46</v>
      </c>
      <c r="E20" s="41" t="s">
        <v>41</v>
      </c>
      <c r="F20" s="40"/>
      <c r="G20" s="36">
        <v>18</v>
      </c>
      <c r="H20" s="42">
        <v>0.36</v>
      </c>
      <c r="I20" s="42">
        <v>0.36</v>
      </c>
      <c r="J20" s="42">
        <v>0.36</v>
      </c>
      <c r="K20" s="42">
        <v>0.36</v>
      </c>
      <c r="L20" s="42">
        <v>0.36</v>
      </c>
      <c r="M20" s="42">
        <v>0.36</v>
      </c>
      <c r="N20" s="42">
        <v>0.36</v>
      </c>
      <c r="O20" s="42">
        <v>0.36</v>
      </c>
      <c r="P20" s="44">
        <v>0.34</v>
      </c>
      <c r="Q20" s="44">
        <v>0.36</v>
      </c>
      <c r="R20" s="44">
        <v>0.34</v>
      </c>
      <c r="S20" s="44">
        <v>0.34</v>
      </c>
      <c r="T20" s="44">
        <v>0.34</v>
      </c>
      <c r="U20" s="44">
        <v>0.34</v>
      </c>
      <c r="V20" s="44">
        <v>0.34</v>
      </c>
      <c r="W20" s="44">
        <v>0.36</v>
      </c>
    </row>
    <row r="21" spans="1:23" ht="15" customHeight="1" x14ac:dyDescent="0.25">
      <c r="A21" s="135"/>
      <c r="B21" s="132"/>
      <c r="C21" s="132"/>
      <c r="D21" s="133"/>
      <c r="E21" s="41" t="s">
        <v>40</v>
      </c>
      <c r="F21" s="40"/>
      <c r="G21" s="43">
        <v>19</v>
      </c>
      <c r="H21" s="42">
        <v>0.25</v>
      </c>
      <c r="I21" s="42">
        <v>0.25</v>
      </c>
      <c r="J21" s="42">
        <v>0.25</v>
      </c>
      <c r="K21" s="42">
        <v>0.25</v>
      </c>
      <c r="L21" s="42">
        <v>0.25</v>
      </c>
      <c r="M21" s="42">
        <v>0.25</v>
      </c>
      <c r="N21" s="42">
        <v>0.25</v>
      </c>
      <c r="O21" s="42">
        <v>0.25</v>
      </c>
      <c r="P21" s="44">
        <v>0.22</v>
      </c>
      <c r="Q21" s="44">
        <v>0.25</v>
      </c>
      <c r="R21" s="44">
        <v>0.22</v>
      </c>
      <c r="S21" s="44">
        <v>0.22</v>
      </c>
      <c r="T21" s="44">
        <v>0.22</v>
      </c>
      <c r="U21" s="44">
        <v>0.22</v>
      </c>
      <c r="V21" s="44">
        <v>0.22</v>
      </c>
      <c r="W21" s="44">
        <v>0.25</v>
      </c>
    </row>
    <row r="22" spans="1:23" x14ac:dyDescent="0.25">
      <c r="A22" s="135"/>
      <c r="B22" s="132"/>
      <c r="C22" s="132"/>
      <c r="D22" s="133"/>
      <c r="E22" s="41" t="s">
        <v>38</v>
      </c>
      <c r="F22" s="40"/>
      <c r="G22" s="36">
        <v>20</v>
      </c>
      <c r="H22" s="42">
        <v>0.42</v>
      </c>
      <c r="I22" s="42">
        <v>0.42</v>
      </c>
      <c r="J22" s="42">
        <v>0.42</v>
      </c>
      <c r="K22" s="42">
        <v>0.42</v>
      </c>
      <c r="L22" s="42">
        <v>0.42</v>
      </c>
      <c r="M22" s="42">
        <v>0.42</v>
      </c>
      <c r="N22" s="42">
        <v>0.42</v>
      </c>
      <c r="O22" s="42">
        <v>0.42</v>
      </c>
      <c r="P22" s="42">
        <v>0.42</v>
      </c>
      <c r="Q22" s="42">
        <v>0.42</v>
      </c>
      <c r="R22" s="42">
        <v>0.42</v>
      </c>
      <c r="S22" s="42">
        <v>0.42</v>
      </c>
      <c r="T22" s="42">
        <v>0.42</v>
      </c>
      <c r="U22" s="42">
        <v>0.42</v>
      </c>
      <c r="V22" s="42">
        <v>0.42</v>
      </c>
      <c r="W22" s="42">
        <v>0.42</v>
      </c>
    </row>
    <row r="23" spans="1:23" ht="15" customHeight="1" x14ac:dyDescent="0.25">
      <c r="A23" s="135"/>
      <c r="B23" s="132"/>
      <c r="C23" s="132"/>
      <c r="D23" s="133"/>
      <c r="E23" s="136" t="s">
        <v>51</v>
      </c>
      <c r="F23" s="138"/>
      <c r="G23" s="43">
        <v>21</v>
      </c>
      <c r="H23" s="46"/>
      <c r="I23" s="45"/>
      <c r="J23" s="45"/>
      <c r="K23" s="45"/>
      <c r="L23" s="44"/>
      <c r="M23" s="44"/>
      <c r="N23" s="44"/>
      <c r="O23" s="44"/>
      <c r="P23" s="44"/>
      <c r="Q23" s="44"/>
      <c r="R23" s="44"/>
      <c r="S23" s="44"/>
      <c r="T23" s="44"/>
      <c r="U23" s="44"/>
      <c r="V23" s="44"/>
      <c r="W23" s="44"/>
    </row>
    <row r="24" spans="1:23" ht="15" customHeight="1" x14ac:dyDescent="0.25">
      <c r="A24" s="135"/>
      <c r="B24" s="132"/>
      <c r="C24" s="132"/>
      <c r="D24" s="133"/>
      <c r="E24" s="41" t="s">
        <v>41</v>
      </c>
      <c r="F24" s="40"/>
      <c r="G24" s="36">
        <v>22</v>
      </c>
      <c r="H24" s="42">
        <v>0.38</v>
      </c>
      <c r="I24" s="44">
        <v>0.41</v>
      </c>
      <c r="J24" s="44">
        <v>0.41</v>
      </c>
      <c r="K24" s="44">
        <v>0.41</v>
      </c>
      <c r="L24" s="44">
        <v>0.41</v>
      </c>
      <c r="M24" s="44">
        <v>0.41</v>
      </c>
      <c r="N24" s="44">
        <v>0.38</v>
      </c>
      <c r="O24" s="44">
        <v>0.41</v>
      </c>
      <c r="P24" s="44">
        <v>0.41</v>
      </c>
      <c r="Q24" s="44">
        <v>0.41</v>
      </c>
      <c r="R24" s="44">
        <v>0.41</v>
      </c>
      <c r="S24" s="44">
        <v>0.41</v>
      </c>
      <c r="T24" s="44">
        <v>0.41</v>
      </c>
      <c r="U24" s="44">
        <v>0.41</v>
      </c>
      <c r="V24" s="44">
        <v>0.41</v>
      </c>
      <c r="W24" s="44">
        <v>0.41</v>
      </c>
    </row>
    <row r="25" spans="1:23" ht="15" customHeight="1" x14ac:dyDescent="0.25">
      <c r="A25" s="135"/>
      <c r="B25" s="132"/>
      <c r="C25" s="132"/>
      <c r="D25" s="133"/>
      <c r="E25" s="41" t="s">
        <v>40</v>
      </c>
      <c r="F25" s="40"/>
      <c r="G25" s="43">
        <v>23</v>
      </c>
      <c r="H25" s="42">
        <v>0.25</v>
      </c>
      <c r="I25" s="44">
        <v>0.26</v>
      </c>
      <c r="J25" s="44">
        <v>0.26</v>
      </c>
      <c r="K25" s="44">
        <v>0.26</v>
      </c>
      <c r="L25" s="44">
        <v>0.26</v>
      </c>
      <c r="M25" s="44">
        <v>0.26</v>
      </c>
      <c r="N25" s="44">
        <v>0.25</v>
      </c>
      <c r="O25" s="44">
        <v>0.26</v>
      </c>
      <c r="P25" s="44">
        <v>0.26</v>
      </c>
      <c r="Q25" s="44">
        <v>0.26</v>
      </c>
      <c r="R25" s="44">
        <v>0.26</v>
      </c>
      <c r="S25" s="44">
        <v>0.26</v>
      </c>
      <c r="T25" s="44">
        <v>0.26</v>
      </c>
      <c r="U25" s="44">
        <v>0.26</v>
      </c>
      <c r="V25" s="44">
        <v>0.26</v>
      </c>
      <c r="W25" s="44">
        <v>0.26</v>
      </c>
    </row>
    <row r="26" spans="1:23" x14ac:dyDescent="0.25">
      <c r="A26" s="135"/>
      <c r="B26" s="132"/>
      <c r="C26" s="132"/>
      <c r="D26" s="133"/>
      <c r="E26" s="41" t="s">
        <v>38</v>
      </c>
      <c r="F26" s="40"/>
      <c r="G26" s="36">
        <v>24</v>
      </c>
      <c r="H26" s="42">
        <v>0.46</v>
      </c>
      <c r="I26" s="42">
        <v>0.46</v>
      </c>
      <c r="J26" s="42">
        <v>0.46</v>
      </c>
      <c r="K26" s="42">
        <v>0.46</v>
      </c>
      <c r="L26" s="42">
        <v>0.46</v>
      </c>
      <c r="M26" s="42">
        <v>0.46</v>
      </c>
      <c r="N26" s="42">
        <v>0.46</v>
      </c>
      <c r="O26" s="42">
        <v>0.46</v>
      </c>
      <c r="P26" s="42">
        <v>0.46</v>
      </c>
      <c r="Q26" s="42">
        <v>0.46</v>
      </c>
      <c r="R26" s="42">
        <v>0.46</v>
      </c>
      <c r="S26" s="42">
        <v>0.46</v>
      </c>
      <c r="T26" s="42">
        <v>0.46</v>
      </c>
      <c r="U26" s="42">
        <v>0.46</v>
      </c>
      <c r="V26" s="42">
        <v>0.46</v>
      </c>
      <c r="W26" s="42">
        <v>0.46</v>
      </c>
    </row>
    <row r="27" spans="1:23" ht="15" customHeight="1" x14ac:dyDescent="0.25">
      <c r="A27" s="135"/>
      <c r="B27" s="132"/>
      <c r="C27" s="132"/>
      <c r="D27" s="133"/>
      <c r="E27" s="136" t="s">
        <v>50</v>
      </c>
      <c r="F27" s="138"/>
      <c r="G27" s="43">
        <v>25</v>
      </c>
      <c r="H27" s="46"/>
      <c r="I27" s="45"/>
      <c r="J27" s="45"/>
      <c r="K27" s="45"/>
      <c r="L27" s="44"/>
      <c r="M27" s="44"/>
      <c r="N27" s="44"/>
      <c r="O27" s="44"/>
      <c r="P27" s="44"/>
      <c r="Q27" s="44"/>
      <c r="R27" s="44"/>
      <c r="S27" s="44"/>
      <c r="T27" s="44"/>
      <c r="U27" s="44"/>
      <c r="V27" s="44"/>
      <c r="W27" s="44"/>
    </row>
    <row r="28" spans="1:23" ht="15" customHeight="1" x14ac:dyDescent="0.25">
      <c r="A28" s="135"/>
      <c r="B28" s="132"/>
      <c r="C28" s="132"/>
      <c r="D28" s="133"/>
      <c r="E28" s="41" t="s">
        <v>41</v>
      </c>
      <c r="F28" s="40"/>
      <c r="G28" s="36">
        <v>26</v>
      </c>
      <c r="H28" s="42">
        <v>0.46</v>
      </c>
      <c r="I28" s="42">
        <v>0.46</v>
      </c>
      <c r="J28" s="42">
        <v>0.46</v>
      </c>
      <c r="K28" s="42">
        <v>0.46</v>
      </c>
      <c r="L28" s="42">
        <v>0.46</v>
      </c>
      <c r="M28" s="42">
        <v>0.46</v>
      </c>
      <c r="N28" s="42">
        <v>0.46</v>
      </c>
      <c r="O28" s="42">
        <v>0.46</v>
      </c>
      <c r="P28" s="42">
        <v>0.46</v>
      </c>
      <c r="Q28" s="42">
        <v>0.46</v>
      </c>
      <c r="R28" s="42">
        <v>0.46</v>
      </c>
      <c r="S28" s="42">
        <v>0.46</v>
      </c>
      <c r="T28" s="42">
        <v>0.46</v>
      </c>
      <c r="U28" s="42">
        <v>0.46</v>
      </c>
      <c r="V28" s="42">
        <v>0.46</v>
      </c>
      <c r="W28" s="42">
        <v>0.46</v>
      </c>
    </row>
    <row r="29" spans="1:23" ht="15" customHeight="1" x14ac:dyDescent="0.25">
      <c r="A29" s="135"/>
      <c r="B29" s="132"/>
      <c r="C29" s="132"/>
      <c r="D29" s="133"/>
      <c r="E29" s="41" t="s">
        <v>40</v>
      </c>
      <c r="F29" s="40"/>
      <c r="G29" s="43">
        <v>27</v>
      </c>
      <c r="H29" s="42">
        <v>0.22</v>
      </c>
      <c r="I29" s="42">
        <v>0.22</v>
      </c>
      <c r="J29" s="42">
        <v>0.22</v>
      </c>
      <c r="K29" s="42">
        <v>0.22</v>
      </c>
      <c r="L29" s="42">
        <v>0.22</v>
      </c>
      <c r="M29" s="42">
        <v>0.22</v>
      </c>
      <c r="N29" s="42">
        <v>0.22</v>
      </c>
      <c r="O29" s="42">
        <v>0.22</v>
      </c>
      <c r="P29" s="42">
        <v>0.22</v>
      </c>
      <c r="Q29" s="42">
        <v>0.22</v>
      </c>
      <c r="R29" s="42">
        <v>0.22</v>
      </c>
      <c r="S29" s="42">
        <v>0.22</v>
      </c>
      <c r="T29" s="42">
        <v>0.22</v>
      </c>
      <c r="U29" s="42">
        <v>0.22</v>
      </c>
      <c r="V29" s="42">
        <v>0.22</v>
      </c>
      <c r="W29" s="42">
        <v>0.22</v>
      </c>
    </row>
    <row r="30" spans="1:23" x14ac:dyDescent="0.25">
      <c r="A30" s="135"/>
      <c r="B30" s="132"/>
      <c r="C30" s="132"/>
      <c r="D30" s="133"/>
      <c r="E30" s="41" t="s">
        <v>38</v>
      </c>
      <c r="F30" s="40"/>
      <c r="G30" s="36">
        <v>28</v>
      </c>
      <c r="H30" s="42">
        <v>0.32</v>
      </c>
      <c r="I30" s="42">
        <v>0.32</v>
      </c>
      <c r="J30" s="42">
        <v>0.32</v>
      </c>
      <c r="K30" s="42">
        <v>0.32</v>
      </c>
      <c r="L30" s="42">
        <v>0.32</v>
      </c>
      <c r="M30" s="42">
        <v>0.32</v>
      </c>
      <c r="N30" s="42">
        <v>0.32</v>
      </c>
      <c r="O30" s="42">
        <v>0.32</v>
      </c>
      <c r="P30" s="42">
        <v>0.32</v>
      </c>
      <c r="Q30" s="42">
        <v>0.32</v>
      </c>
      <c r="R30" s="42">
        <v>0.32</v>
      </c>
      <c r="S30" s="42">
        <v>0.32</v>
      </c>
      <c r="T30" s="42">
        <v>0.32</v>
      </c>
      <c r="U30" s="42">
        <v>0.32</v>
      </c>
      <c r="V30" s="42">
        <v>0.32</v>
      </c>
      <c r="W30" s="42">
        <v>0.32</v>
      </c>
    </row>
    <row r="31" spans="1:23" ht="15" customHeight="1" x14ac:dyDescent="0.25">
      <c r="A31" s="135"/>
      <c r="B31" s="132"/>
      <c r="C31" s="132"/>
      <c r="D31" s="133"/>
      <c r="E31" s="136" t="s">
        <v>49</v>
      </c>
      <c r="F31" s="138"/>
      <c r="G31" s="43">
        <v>29</v>
      </c>
      <c r="H31" s="46"/>
      <c r="I31" s="45"/>
      <c r="J31" s="45"/>
      <c r="K31" s="45"/>
      <c r="L31" s="44"/>
      <c r="M31" s="44"/>
      <c r="N31" s="44"/>
      <c r="O31" s="44"/>
      <c r="P31" s="44"/>
      <c r="Q31" s="44"/>
      <c r="R31" s="44"/>
      <c r="S31" s="44"/>
      <c r="T31" s="44"/>
      <c r="U31" s="44"/>
      <c r="V31" s="44"/>
      <c r="W31" s="44"/>
    </row>
    <row r="32" spans="1:23" ht="15" customHeight="1" x14ac:dyDescent="0.25">
      <c r="A32" s="135"/>
      <c r="B32" s="132"/>
      <c r="C32" s="132"/>
      <c r="D32" s="133"/>
      <c r="E32" s="41" t="s">
        <v>41</v>
      </c>
      <c r="F32" s="40"/>
      <c r="G32" s="36">
        <v>30</v>
      </c>
      <c r="H32" s="42">
        <v>0.45</v>
      </c>
      <c r="I32" s="42">
        <v>0.45</v>
      </c>
      <c r="J32" s="42">
        <v>0.45</v>
      </c>
      <c r="K32" s="42">
        <v>0.45</v>
      </c>
      <c r="L32" s="42">
        <v>0.45</v>
      </c>
      <c r="M32" s="42">
        <v>0.45</v>
      </c>
      <c r="N32" s="42">
        <v>0.45</v>
      </c>
      <c r="O32" s="42">
        <v>0.45</v>
      </c>
      <c r="P32" s="42">
        <v>0.45</v>
      </c>
      <c r="Q32" s="42">
        <v>0.45</v>
      </c>
      <c r="R32" s="42">
        <v>0.45</v>
      </c>
      <c r="S32" s="42">
        <v>0.45</v>
      </c>
      <c r="T32" s="42">
        <v>0.45</v>
      </c>
      <c r="U32" s="42">
        <v>0.45</v>
      </c>
      <c r="V32" s="42">
        <v>0.45</v>
      </c>
      <c r="W32" s="42">
        <v>0.45</v>
      </c>
    </row>
    <row r="33" spans="1:23" ht="15" customHeight="1" x14ac:dyDescent="0.25">
      <c r="A33" s="135"/>
      <c r="B33" s="132"/>
      <c r="C33" s="132"/>
      <c r="D33" s="133"/>
      <c r="E33" s="41" t="s">
        <v>40</v>
      </c>
      <c r="F33" s="40"/>
      <c r="G33" s="43">
        <v>31</v>
      </c>
      <c r="H33" s="42">
        <v>0.23</v>
      </c>
      <c r="I33" s="42">
        <v>0.23</v>
      </c>
      <c r="J33" s="42">
        <v>0.23</v>
      </c>
      <c r="K33" s="42">
        <v>0.23</v>
      </c>
      <c r="L33" s="42">
        <v>0.23</v>
      </c>
      <c r="M33" s="42">
        <v>0.23</v>
      </c>
      <c r="N33" s="42">
        <v>0.23</v>
      </c>
      <c r="O33" s="42">
        <v>0.23</v>
      </c>
      <c r="P33" s="42">
        <v>0.23</v>
      </c>
      <c r="Q33" s="42">
        <v>0.23</v>
      </c>
      <c r="R33" s="42">
        <v>0.23</v>
      </c>
      <c r="S33" s="42">
        <v>0.23</v>
      </c>
      <c r="T33" s="42">
        <v>0.23</v>
      </c>
      <c r="U33" s="42">
        <v>0.23</v>
      </c>
      <c r="V33" s="42">
        <v>0.23</v>
      </c>
      <c r="W33" s="42">
        <v>0.23</v>
      </c>
    </row>
    <row r="34" spans="1:23" x14ac:dyDescent="0.25">
      <c r="A34" s="135"/>
      <c r="B34" s="132"/>
      <c r="C34" s="132"/>
      <c r="D34" s="133"/>
      <c r="E34" s="41" t="s">
        <v>38</v>
      </c>
      <c r="F34" s="40"/>
      <c r="G34" s="36">
        <v>32</v>
      </c>
      <c r="H34" s="39">
        <v>0.17</v>
      </c>
      <c r="I34" s="39">
        <v>0.17</v>
      </c>
      <c r="J34" s="39">
        <v>0.17</v>
      </c>
      <c r="K34" s="39">
        <v>0.17</v>
      </c>
      <c r="L34" s="39">
        <v>0.17</v>
      </c>
      <c r="M34" s="39">
        <v>0.17</v>
      </c>
      <c r="N34" s="39">
        <v>0.17</v>
      </c>
      <c r="O34" s="39">
        <v>0.17</v>
      </c>
      <c r="P34" s="39">
        <v>0.17</v>
      </c>
      <c r="Q34" s="39">
        <v>0.17</v>
      </c>
      <c r="R34" s="39">
        <v>0.17</v>
      </c>
      <c r="S34" s="39">
        <v>0.17</v>
      </c>
      <c r="T34" s="39">
        <v>0.17</v>
      </c>
      <c r="U34" s="39">
        <v>0.17</v>
      </c>
      <c r="V34" s="39">
        <v>0.17</v>
      </c>
      <c r="W34" s="39">
        <v>0.17</v>
      </c>
    </row>
    <row r="35" spans="1:23" x14ac:dyDescent="0.25">
      <c r="A35" s="135"/>
      <c r="B35" s="132"/>
      <c r="C35" s="132"/>
      <c r="D35" s="2" t="s">
        <v>36</v>
      </c>
      <c r="E35" s="38"/>
      <c r="F35" s="37"/>
      <c r="G35" s="36">
        <v>33</v>
      </c>
      <c r="H35" s="35">
        <v>0.4</v>
      </c>
      <c r="I35" s="35">
        <v>0.4</v>
      </c>
      <c r="J35" s="35">
        <v>0.4</v>
      </c>
      <c r="K35" s="35">
        <v>0.4</v>
      </c>
      <c r="L35" s="35">
        <v>0.4</v>
      </c>
      <c r="M35" s="35">
        <v>0.4</v>
      </c>
      <c r="N35" s="35">
        <v>0.4</v>
      </c>
      <c r="O35" s="35">
        <v>0.4</v>
      </c>
      <c r="P35" s="35">
        <v>0.4</v>
      </c>
      <c r="Q35" s="35">
        <v>0.4</v>
      </c>
      <c r="R35" s="35">
        <v>0.4</v>
      </c>
      <c r="S35" s="35">
        <v>0.4</v>
      </c>
      <c r="T35" s="35">
        <v>0.4</v>
      </c>
      <c r="U35" s="35">
        <v>0.4</v>
      </c>
      <c r="V35" s="35">
        <v>0.4</v>
      </c>
      <c r="W35" s="35">
        <v>0.4</v>
      </c>
    </row>
  </sheetData>
  <mergeCells count="18">
    <mergeCell ref="G1:V1"/>
    <mergeCell ref="B16:D16"/>
    <mergeCell ref="B17:C18"/>
    <mergeCell ref="B3:B11"/>
    <mergeCell ref="C3:C4"/>
    <mergeCell ref="C5:C9"/>
    <mergeCell ref="C10:C11"/>
    <mergeCell ref="B12:B15"/>
    <mergeCell ref="C12:C13"/>
    <mergeCell ref="C14:C15"/>
    <mergeCell ref="C19:C35"/>
    <mergeCell ref="D20:D34"/>
    <mergeCell ref="A3:A35"/>
    <mergeCell ref="E19:F19"/>
    <mergeCell ref="E23:F23"/>
    <mergeCell ref="E31:F31"/>
    <mergeCell ref="E27:F27"/>
    <mergeCell ref="B19:B35"/>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FC10E-7725-425D-94B4-377ED5C7F8CC}">
  <sheetPr codeName="Sheet3"/>
  <dimension ref="B3:K42"/>
  <sheetViews>
    <sheetView workbookViewId="0">
      <selection activeCell="I18" sqref="I18"/>
    </sheetView>
  </sheetViews>
  <sheetFormatPr defaultRowHeight="15" x14ac:dyDescent="0.25"/>
  <cols>
    <col min="1" max="1" width="9.42578125" customWidth="1"/>
    <col min="2" max="2" width="5.140625" customWidth="1"/>
    <col min="4" max="4" width="10.7109375" customWidth="1"/>
    <col min="5" max="5" width="15" customWidth="1"/>
    <col min="6" max="6" width="18.7109375" customWidth="1"/>
    <col min="7" max="7" width="11.85546875" customWidth="1"/>
    <col min="8" max="8" width="13.28515625" customWidth="1"/>
    <col min="9" max="9" width="18" customWidth="1"/>
    <col min="10" max="10" width="19.28515625" customWidth="1"/>
    <col min="11" max="12" width="21.42578125" customWidth="1"/>
  </cols>
  <sheetData>
    <row r="3" spans="2:7" x14ac:dyDescent="0.25">
      <c r="C3" s="3" t="s">
        <v>106</v>
      </c>
      <c r="G3" s="34" t="s">
        <v>79</v>
      </c>
    </row>
    <row r="4" spans="2:7" x14ac:dyDescent="0.25">
      <c r="B4" s="24" t="s">
        <v>78</v>
      </c>
      <c r="F4" s="33" t="s">
        <v>77</v>
      </c>
      <c r="G4" s="8">
        <v>8</v>
      </c>
    </row>
    <row r="5" spans="2:7" ht="18.75" customHeight="1" x14ac:dyDescent="0.25">
      <c r="B5" s="64">
        <v>1</v>
      </c>
      <c r="C5" s="112" t="s">
        <v>55</v>
      </c>
      <c r="D5" s="129" t="s">
        <v>76</v>
      </c>
      <c r="E5" s="123" t="s">
        <v>75</v>
      </c>
      <c r="F5" s="28" t="s">
        <v>74</v>
      </c>
      <c r="G5" s="24">
        <f>VLOOKUP(B5,Tbl_Code3[],$G$4+1)</f>
        <v>4.1000000000000002E-2</v>
      </c>
    </row>
    <row r="6" spans="2:7" ht="38.25" customHeight="1" x14ac:dyDescent="0.25">
      <c r="B6" s="64">
        <v>2</v>
      </c>
      <c r="C6" s="112"/>
      <c r="D6" s="129"/>
      <c r="E6" s="123"/>
      <c r="F6" s="28" t="s">
        <v>68</v>
      </c>
      <c r="G6" s="24">
        <f>VLOOKUP(B6,Tbl_Code3[],$G$4+1)</f>
        <v>2.8000000000000001E-2</v>
      </c>
    </row>
    <row r="7" spans="2:7" x14ac:dyDescent="0.25">
      <c r="B7" s="64">
        <v>3</v>
      </c>
      <c r="C7" s="112"/>
      <c r="D7" s="129"/>
      <c r="E7" s="123" t="s">
        <v>73</v>
      </c>
      <c r="F7" s="28" t="s">
        <v>72</v>
      </c>
      <c r="G7" s="24">
        <f>VLOOKUP(B7,Tbl_Code3[],$G$4+1)</f>
        <v>6.0999999999999999E-2</v>
      </c>
    </row>
    <row r="8" spans="2:7" x14ac:dyDescent="0.25">
      <c r="B8" s="64">
        <v>4</v>
      </c>
      <c r="C8" s="112"/>
      <c r="D8" s="129"/>
      <c r="E8" s="123"/>
      <c r="F8" s="28" t="s">
        <v>71</v>
      </c>
      <c r="G8" s="24">
        <f>VLOOKUP(B8,Tbl_Code3[],$G$4+1)</f>
        <v>6.9000000000000006E-2</v>
      </c>
    </row>
    <row r="9" spans="2:7" x14ac:dyDescent="0.25">
      <c r="B9" s="64">
        <v>5</v>
      </c>
      <c r="C9" s="112"/>
      <c r="D9" s="129"/>
      <c r="E9" s="123"/>
      <c r="F9" s="28" t="s">
        <v>70</v>
      </c>
      <c r="G9" s="24">
        <f>VLOOKUP(B9,Tbl_Code3[],$G$4+1)</f>
        <v>0.22700000000000001</v>
      </c>
    </row>
    <row r="10" spans="2:7" x14ac:dyDescent="0.25">
      <c r="B10" s="64">
        <v>6</v>
      </c>
      <c r="C10" s="112"/>
      <c r="D10" s="129"/>
      <c r="E10" s="123"/>
      <c r="F10" s="28" t="s">
        <v>69</v>
      </c>
      <c r="G10" s="24">
        <f>VLOOKUP(B10,Tbl_Code3[],$G$4+1)</f>
        <v>0.69</v>
      </c>
    </row>
    <row r="11" spans="2:7" ht="30" x14ac:dyDescent="0.25">
      <c r="B11" s="64">
        <v>7</v>
      </c>
      <c r="C11" s="112"/>
      <c r="D11" s="129"/>
      <c r="E11" s="123"/>
      <c r="F11" s="28" t="s">
        <v>68</v>
      </c>
      <c r="G11" s="24">
        <f>VLOOKUP(B11,Tbl_Code3[],$G$4+1)</f>
        <v>5.8999999999999997E-2</v>
      </c>
    </row>
    <row r="12" spans="2:7" x14ac:dyDescent="0.25">
      <c r="B12" s="64">
        <v>8</v>
      </c>
      <c r="C12" s="112"/>
      <c r="D12" s="129"/>
      <c r="E12" s="123" t="s">
        <v>67</v>
      </c>
      <c r="F12" s="28" t="s">
        <v>66</v>
      </c>
      <c r="G12" s="24">
        <f>VLOOKUP(B12,Tbl_Code3[],$G$4+1)</f>
        <v>9.1999999999999998E-2</v>
      </c>
    </row>
    <row r="13" spans="2:7" x14ac:dyDescent="0.25">
      <c r="B13" s="64">
        <v>9</v>
      </c>
      <c r="C13" s="112"/>
      <c r="D13" s="129"/>
      <c r="E13" s="123"/>
      <c r="F13" s="28" t="s">
        <v>65</v>
      </c>
      <c r="G13" s="24">
        <f>VLOOKUP(B13,Tbl_Code3[],$G$4+1)</f>
        <v>3.9E-2</v>
      </c>
    </row>
    <row r="14" spans="2:7" ht="30" x14ac:dyDescent="0.25">
      <c r="B14" s="64">
        <v>10</v>
      </c>
      <c r="C14" s="112"/>
      <c r="D14" s="129" t="s">
        <v>64</v>
      </c>
      <c r="E14" s="123" t="s">
        <v>63</v>
      </c>
      <c r="F14" s="28" t="s">
        <v>61</v>
      </c>
      <c r="G14" s="24" t="str">
        <f>VLOOKUP(B14,Tbl_Code3[],$G$4+1)</f>
        <v>NR</v>
      </c>
    </row>
    <row r="15" spans="2:7" x14ac:dyDescent="0.25">
      <c r="B15" s="64">
        <v>11</v>
      </c>
      <c r="C15" s="112"/>
      <c r="D15" s="129"/>
      <c r="E15" s="123"/>
      <c r="F15" s="28" t="s">
        <v>60</v>
      </c>
      <c r="G15" s="24" t="str">
        <f>VLOOKUP(B15,Tbl_Code3[],$G$4+1)</f>
        <v>NR</v>
      </c>
    </row>
    <row r="16" spans="2:7" ht="30" x14ac:dyDescent="0.25">
      <c r="B16" s="64">
        <v>12</v>
      </c>
      <c r="C16" s="112"/>
      <c r="D16" s="129"/>
      <c r="E16" s="123" t="s">
        <v>62</v>
      </c>
      <c r="F16" s="28" t="s">
        <v>61</v>
      </c>
      <c r="G16" s="24">
        <f>VLOOKUP(B16,Tbl_Code3[],$G$4+1)</f>
        <v>0.2</v>
      </c>
    </row>
    <row r="17" spans="2:11" x14ac:dyDescent="0.25">
      <c r="B17" s="64">
        <v>13</v>
      </c>
      <c r="C17" s="112"/>
      <c r="D17" s="129"/>
      <c r="E17" s="123"/>
      <c r="F17" s="28" t="s">
        <v>60</v>
      </c>
      <c r="G17" s="24">
        <f>VLOOKUP(B17,Tbl_Code3[],$G$4+1)</f>
        <v>0.75</v>
      </c>
    </row>
    <row r="18" spans="2:11" x14ac:dyDescent="0.25">
      <c r="B18" s="64">
        <v>14</v>
      </c>
      <c r="C18" s="112"/>
      <c r="D18" s="130" t="s">
        <v>59</v>
      </c>
      <c r="E18" s="112"/>
      <c r="F18" s="112"/>
      <c r="G18" s="24" t="str">
        <f>VLOOKUP(B18,Tbl_Code3[],$G$4+1)</f>
        <v>REQ</v>
      </c>
    </row>
    <row r="19" spans="2:11" x14ac:dyDescent="0.25">
      <c r="B19" s="64">
        <v>15</v>
      </c>
      <c r="C19" s="112"/>
      <c r="D19" s="129" t="s">
        <v>58</v>
      </c>
      <c r="E19" s="119"/>
      <c r="F19" s="28" t="s">
        <v>57</v>
      </c>
      <c r="G19" s="24">
        <f>VLOOKUP(B19,Tbl_Code3[],$G$4+1)</f>
        <v>1.45</v>
      </c>
    </row>
    <row r="20" spans="2:11" x14ac:dyDescent="0.25">
      <c r="B20" s="64">
        <v>16</v>
      </c>
      <c r="C20" s="112"/>
      <c r="D20" s="142"/>
      <c r="E20" s="109"/>
      <c r="F20" s="62" t="s">
        <v>56</v>
      </c>
      <c r="G20" s="24">
        <f>VLOOKUP(B20,Tbl_Code3[],$G$4+1)</f>
        <v>0.7</v>
      </c>
    </row>
    <row r="21" spans="2:11" ht="15" customHeight="1" x14ac:dyDescent="0.25">
      <c r="C21" s="112"/>
      <c r="D21" s="112" t="s">
        <v>54</v>
      </c>
      <c r="E21" s="61"/>
      <c r="F21" s="29"/>
      <c r="G21" s="112" t="s">
        <v>48</v>
      </c>
      <c r="H21" s="112"/>
      <c r="I21" s="112"/>
      <c r="J21" s="112"/>
      <c r="K21" s="112"/>
    </row>
    <row r="22" spans="2:11" ht="30" customHeight="1" x14ac:dyDescent="0.25">
      <c r="C22" s="112"/>
      <c r="D22" s="112"/>
      <c r="E22" s="61"/>
      <c r="F22" s="29"/>
      <c r="G22" s="24"/>
      <c r="H22" s="26" t="s">
        <v>105</v>
      </c>
      <c r="I22" s="27" t="s">
        <v>104</v>
      </c>
      <c r="J22" s="27" t="s">
        <v>103</v>
      </c>
      <c r="K22" s="26" t="s">
        <v>102</v>
      </c>
    </row>
    <row r="23" spans="2:11" ht="30" customHeight="1" x14ac:dyDescent="0.25">
      <c r="C23" s="112"/>
      <c r="D23" s="112"/>
      <c r="E23" s="143" t="s">
        <v>53</v>
      </c>
      <c r="F23" s="123" t="s">
        <v>100</v>
      </c>
      <c r="G23" s="24" t="s">
        <v>41</v>
      </c>
      <c r="H23" s="24">
        <v>0.36</v>
      </c>
      <c r="I23" s="24">
        <v>0.46</v>
      </c>
      <c r="J23" s="24">
        <v>0.41</v>
      </c>
      <c r="K23" s="24">
        <v>0.45</v>
      </c>
    </row>
    <row r="24" spans="2:11" x14ac:dyDescent="0.25">
      <c r="C24" s="112"/>
      <c r="D24" s="112"/>
      <c r="E24" s="143"/>
      <c r="F24" s="123"/>
      <c r="G24" s="24" t="s">
        <v>40</v>
      </c>
      <c r="H24" s="24">
        <v>0.25</v>
      </c>
      <c r="I24" s="24">
        <v>0.22</v>
      </c>
      <c r="J24" s="24">
        <v>0.26</v>
      </c>
      <c r="K24" s="24">
        <v>0.23</v>
      </c>
    </row>
    <row r="25" spans="2:11" ht="30" customHeight="1" x14ac:dyDescent="0.25">
      <c r="C25" s="112"/>
      <c r="D25" s="112"/>
      <c r="E25" s="143"/>
      <c r="F25" s="28" t="s">
        <v>100</v>
      </c>
      <c r="G25" s="24" t="s">
        <v>38</v>
      </c>
      <c r="H25" s="24">
        <v>0.42</v>
      </c>
      <c r="I25" s="24">
        <v>0.32</v>
      </c>
      <c r="J25" s="24">
        <v>0.46</v>
      </c>
      <c r="K25" s="24">
        <v>0.17</v>
      </c>
    </row>
    <row r="26" spans="2:11" ht="30" customHeight="1" x14ac:dyDescent="0.25">
      <c r="C26" s="112"/>
      <c r="D26" s="112"/>
      <c r="E26" s="143"/>
      <c r="F26" s="28" t="s">
        <v>101</v>
      </c>
      <c r="G26" s="141">
        <v>0.4</v>
      </c>
      <c r="H26" s="141"/>
      <c r="I26" s="141"/>
      <c r="J26" s="141"/>
      <c r="K26" s="141"/>
    </row>
    <row r="27" spans="2:11" ht="30" customHeight="1" x14ac:dyDescent="0.25">
      <c r="C27" s="112"/>
      <c r="D27" s="112"/>
      <c r="E27" s="143" t="s">
        <v>47</v>
      </c>
      <c r="F27" s="28"/>
      <c r="G27" s="24"/>
      <c r="H27" s="27" t="s">
        <v>45</v>
      </c>
      <c r="I27" s="27" t="s">
        <v>44</v>
      </c>
      <c r="J27" s="119" t="s">
        <v>43</v>
      </c>
      <c r="K27" s="119"/>
    </row>
    <row r="28" spans="2:11" x14ac:dyDescent="0.25">
      <c r="C28" s="112"/>
      <c r="D28" s="112"/>
      <c r="E28" s="143"/>
      <c r="F28" s="123" t="s">
        <v>100</v>
      </c>
      <c r="G28" s="24" t="s">
        <v>41</v>
      </c>
      <c r="H28" s="24">
        <v>0.57999999999999996</v>
      </c>
      <c r="I28" s="24">
        <v>0.46</v>
      </c>
      <c r="J28" s="143">
        <v>0.88</v>
      </c>
      <c r="K28" s="143"/>
    </row>
    <row r="29" spans="2:11" ht="23.25" customHeight="1" x14ac:dyDescent="0.25">
      <c r="C29" s="112"/>
      <c r="D29" s="112"/>
      <c r="E29" s="143"/>
      <c r="F29" s="123"/>
      <c r="G29" s="24" t="s">
        <v>40</v>
      </c>
      <c r="H29" s="24">
        <v>0.25</v>
      </c>
      <c r="I29" s="24">
        <v>0.25</v>
      </c>
      <c r="J29" s="143" t="s">
        <v>39</v>
      </c>
      <c r="K29" s="143"/>
    </row>
    <row r="30" spans="2:11" ht="30" customHeight="1" x14ac:dyDescent="0.25">
      <c r="C30" s="112"/>
      <c r="D30" s="112"/>
      <c r="E30" s="143"/>
      <c r="F30" s="28" t="s">
        <v>100</v>
      </c>
      <c r="G30" s="24" t="s">
        <v>38</v>
      </c>
      <c r="H30" s="24">
        <v>0.49</v>
      </c>
      <c r="I30" s="24">
        <v>0.49</v>
      </c>
      <c r="J30" s="143">
        <v>0.64</v>
      </c>
      <c r="K30" s="143"/>
    </row>
    <row r="31" spans="2:11" ht="30" customHeight="1" x14ac:dyDescent="0.25">
      <c r="C31" s="112"/>
      <c r="D31" s="112"/>
      <c r="E31" s="143"/>
      <c r="F31" s="28" t="s">
        <v>99</v>
      </c>
      <c r="G31" s="141">
        <v>0.05</v>
      </c>
      <c r="H31" s="141"/>
      <c r="I31" s="141"/>
      <c r="J31" s="141"/>
      <c r="K31" s="141"/>
    </row>
    <row r="33" ht="22.5" customHeight="1" x14ac:dyDescent="0.25"/>
    <row r="34" ht="30" customHeight="1" x14ac:dyDescent="0.25"/>
    <row r="35" ht="30" customHeight="1" x14ac:dyDescent="0.25"/>
    <row r="42" ht="15" customHeight="1" x14ac:dyDescent="0.25"/>
  </sheetData>
  <mergeCells count="22">
    <mergeCell ref="C5:C31"/>
    <mergeCell ref="D21:D31"/>
    <mergeCell ref="E23:E26"/>
    <mergeCell ref="E27:E31"/>
    <mergeCell ref="F23:F24"/>
    <mergeCell ref="F28:F29"/>
    <mergeCell ref="G31:K31"/>
    <mergeCell ref="D18:F18"/>
    <mergeCell ref="D14:D17"/>
    <mergeCell ref="D19:E20"/>
    <mergeCell ref="E5:E6"/>
    <mergeCell ref="E7:E11"/>
    <mergeCell ref="E12:E13"/>
    <mergeCell ref="E14:E15"/>
    <mergeCell ref="E16:E17"/>
    <mergeCell ref="D5:D13"/>
    <mergeCell ref="J27:K27"/>
    <mergeCell ref="J28:K28"/>
    <mergeCell ref="J29:K29"/>
    <mergeCell ref="J30:K30"/>
    <mergeCell ref="G21:K21"/>
    <mergeCell ref="G26:K26"/>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_Fill2">
                <anchor moveWithCells="1" sizeWithCells="1">
                  <from>
                    <xdr:col>3</xdr:col>
                    <xdr:colOff>419100</xdr:colOff>
                    <xdr:row>0</xdr:row>
                    <xdr:rowOff>123825</xdr:rowOff>
                  </from>
                  <to>
                    <xdr:col>4</xdr:col>
                    <xdr:colOff>447675</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A9FDC-A760-4E05-A87C-73780DFF6B05}">
  <sheetPr codeName="Sheet4"/>
  <dimension ref="A1:W33"/>
  <sheetViews>
    <sheetView topLeftCell="A6" workbookViewId="0">
      <selection activeCell="AA10" sqref="AA10"/>
    </sheetView>
  </sheetViews>
  <sheetFormatPr defaultRowHeight="15" x14ac:dyDescent="0.25"/>
  <cols>
    <col min="7" max="7" width="7" customWidth="1"/>
    <col min="23" max="23" width="6.42578125" customWidth="1"/>
  </cols>
  <sheetData>
    <row r="1" spans="1:23" x14ac:dyDescent="0.25">
      <c r="G1" s="139" t="s">
        <v>98</v>
      </c>
      <c r="H1" s="139"/>
      <c r="I1" s="139"/>
      <c r="J1" s="139"/>
      <c r="K1" s="139"/>
      <c r="L1" s="139"/>
      <c r="M1" s="139"/>
      <c r="N1" s="139"/>
      <c r="O1" s="139"/>
      <c r="P1" s="139"/>
      <c r="Q1" s="139"/>
      <c r="R1" s="139"/>
      <c r="S1" s="139"/>
      <c r="T1" s="139"/>
      <c r="U1" s="139"/>
      <c r="V1" s="139"/>
    </row>
    <row r="2" spans="1:23" ht="30" customHeight="1" thickBot="1" x14ac:dyDescent="0.3">
      <c r="G2" s="90" t="s">
        <v>78</v>
      </c>
      <c r="H2" s="91" t="s">
        <v>97</v>
      </c>
      <c r="I2" s="90" t="s">
        <v>96</v>
      </c>
      <c r="J2" s="90" t="s">
        <v>95</v>
      </c>
      <c r="K2" s="90" t="s">
        <v>94</v>
      </c>
      <c r="L2" s="90" t="s">
        <v>93</v>
      </c>
      <c r="M2" s="90" t="s">
        <v>92</v>
      </c>
      <c r="N2" s="90" t="s">
        <v>91</v>
      </c>
      <c r="O2" s="90" t="s">
        <v>90</v>
      </c>
      <c r="P2" s="90" t="s">
        <v>89</v>
      </c>
      <c r="Q2" s="90" t="s">
        <v>88</v>
      </c>
      <c r="R2" s="90" t="s">
        <v>87</v>
      </c>
      <c r="S2" s="90" t="s">
        <v>86</v>
      </c>
      <c r="T2" s="90" t="s">
        <v>85</v>
      </c>
      <c r="U2" s="90" t="s">
        <v>84</v>
      </c>
      <c r="V2" s="90" t="s">
        <v>83</v>
      </c>
      <c r="W2" s="89" t="s">
        <v>82</v>
      </c>
    </row>
    <row r="3" spans="1:23" ht="30" x14ac:dyDescent="0.25">
      <c r="A3" s="134" t="s">
        <v>55</v>
      </c>
      <c r="B3" s="133" t="s">
        <v>76</v>
      </c>
      <c r="C3" s="147" t="s">
        <v>75</v>
      </c>
      <c r="D3" s="79" t="s">
        <v>74</v>
      </c>
      <c r="E3" s="78"/>
      <c r="F3" s="78"/>
      <c r="G3" s="77">
        <v>1</v>
      </c>
      <c r="H3" s="76">
        <v>4.1000000000000002E-2</v>
      </c>
      <c r="I3" s="82">
        <v>4.1000000000000002E-2</v>
      </c>
      <c r="J3" s="82">
        <v>4.1000000000000002E-2</v>
      </c>
      <c r="K3" s="82">
        <v>4.1000000000000002E-2</v>
      </c>
      <c r="L3" s="82">
        <v>4.1000000000000002E-2</v>
      </c>
      <c r="M3" s="82">
        <v>4.1000000000000002E-2</v>
      </c>
      <c r="N3" s="82">
        <v>4.1000000000000002E-2</v>
      </c>
      <c r="O3" s="82">
        <v>4.1000000000000002E-2</v>
      </c>
      <c r="P3" s="82">
        <v>4.1000000000000002E-2</v>
      </c>
      <c r="Q3" s="82">
        <v>4.1000000000000002E-2</v>
      </c>
      <c r="R3" s="82">
        <v>4.1000000000000002E-2</v>
      </c>
      <c r="S3" s="82">
        <v>4.1000000000000002E-2</v>
      </c>
      <c r="T3" s="82">
        <v>4.1000000000000002E-2</v>
      </c>
      <c r="U3" s="82">
        <v>4.1000000000000002E-2</v>
      </c>
      <c r="V3" s="82">
        <v>4.1000000000000002E-2</v>
      </c>
      <c r="W3" s="88">
        <v>4.1000000000000002E-2</v>
      </c>
    </row>
    <row r="4" spans="1:23" ht="60.75" thickBot="1" x14ac:dyDescent="0.3">
      <c r="A4" s="135"/>
      <c r="B4" s="133"/>
      <c r="C4" s="148"/>
      <c r="D4" s="87" t="s">
        <v>68</v>
      </c>
      <c r="E4" s="49"/>
      <c r="F4" s="49"/>
      <c r="G4" s="36">
        <v>2</v>
      </c>
      <c r="H4" s="86">
        <v>2.8000000000000001E-2</v>
      </c>
      <c r="I4" s="85">
        <v>2.8000000000000001E-2</v>
      </c>
      <c r="J4" s="85">
        <v>3.4000000000000002E-2</v>
      </c>
      <c r="K4" s="85">
        <v>2.8000000000000001E-2</v>
      </c>
      <c r="L4" s="85">
        <v>3.4000000000000002E-2</v>
      </c>
      <c r="M4" s="85">
        <v>3.4000000000000002E-2</v>
      </c>
      <c r="N4" s="85">
        <v>3.9E-2</v>
      </c>
      <c r="O4" s="85">
        <v>2.8000000000000001E-2</v>
      </c>
      <c r="P4" s="85">
        <v>2.8000000000000001E-2</v>
      </c>
      <c r="Q4" s="85">
        <v>2.8000000000000001E-2</v>
      </c>
      <c r="R4" s="85">
        <v>2.8000000000000001E-2</v>
      </c>
      <c r="S4" s="85">
        <v>2.8000000000000001E-2</v>
      </c>
      <c r="T4" s="85">
        <v>2.8000000000000001E-2</v>
      </c>
      <c r="U4" s="85">
        <v>2.8000000000000001E-2</v>
      </c>
      <c r="V4" s="85">
        <v>2.8000000000000001E-2</v>
      </c>
      <c r="W4" s="84">
        <v>2.8000000000000001E-2</v>
      </c>
    </row>
    <row r="5" spans="1:23" ht="30" x14ac:dyDescent="0.25">
      <c r="A5" s="135"/>
      <c r="B5" s="136"/>
      <c r="C5" s="144" t="s">
        <v>73</v>
      </c>
      <c r="D5" s="78" t="s">
        <v>72</v>
      </c>
      <c r="E5" s="78"/>
      <c r="F5" s="78"/>
      <c r="G5" s="77">
        <v>3</v>
      </c>
      <c r="H5" s="76">
        <v>6.0999999999999999E-2</v>
      </c>
      <c r="I5" s="76">
        <v>6.0999999999999999E-2</v>
      </c>
      <c r="J5" s="76">
        <v>6.0999999999999999E-2</v>
      </c>
      <c r="K5" s="76">
        <v>6.0999999999999999E-2</v>
      </c>
      <c r="L5" s="76">
        <v>6.0999999999999999E-2</v>
      </c>
      <c r="M5" s="76">
        <v>6.0999999999999999E-2</v>
      </c>
      <c r="N5" s="76">
        <v>6.0999999999999999E-2</v>
      </c>
      <c r="O5" s="76">
        <v>6.0999999999999999E-2</v>
      </c>
      <c r="P5" s="76">
        <v>6.0999999999999999E-2</v>
      </c>
      <c r="Q5" s="76">
        <v>6.0999999999999999E-2</v>
      </c>
      <c r="R5" s="82">
        <v>5.7000000000000002E-2</v>
      </c>
      <c r="S5" s="82">
        <v>5.7000000000000002E-2</v>
      </c>
      <c r="T5" s="82">
        <v>5.7000000000000002E-2</v>
      </c>
      <c r="U5" s="82">
        <v>5.7000000000000002E-2</v>
      </c>
      <c r="V5" s="82">
        <v>5.7000000000000002E-2</v>
      </c>
      <c r="W5" s="82">
        <v>5.7000000000000002E-2</v>
      </c>
    </row>
    <row r="6" spans="1:23" ht="30" x14ac:dyDescent="0.25">
      <c r="A6" s="135"/>
      <c r="B6" s="136"/>
      <c r="C6" s="149"/>
      <c r="D6" s="50" t="s">
        <v>71</v>
      </c>
      <c r="E6" s="50"/>
      <c r="F6" s="50"/>
      <c r="G6" s="43">
        <v>4</v>
      </c>
      <c r="H6" s="54">
        <v>6.9000000000000006E-2</v>
      </c>
      <c r="I6" s="54">
        <v>6.9000000000000006E-2</v>
      </c>
      <c r="J6" s="54">
        <v>6.9000000000000006E-2</v>
      </c>
      <c r="K6" s="54">
        <v>6.9000000000000006E-2</v>
      </c>
      <c r="L6" s="54">
        <v>6.9000000000000006E-2</v>
      </c>
      <c r="M6" s="54">
        <v>6.9000000000000006E-2</v>
      </c>
      <c r="N6" s="54">
        <v>0.105</v>
      </c>
      <c r="O6" s="54">
        <v>6.9000000000000006E-2</v>
      </c>
      <c r="P6" s="54">
        <v>6.9000000000000006E-2</v>
      </c>
      <c r="Q6" s="54">
        <v>6.9000000000000006E-2</v>
      </c>
      <c r="R6" s="54">
        <v>6.9000000000000006E-2</v>
      </c>
      <c r="S6" s="54">
        <v>6.9000000000000006E-2</v>
      </c>
      <c r="T6" s="54">
        <v>6.9000000000000006E-2</v>
      </c>
      <c r="U6" s="54">
        <v>6.9000000000000006E-2</v>
      </c>
      <c r="V6" s="54">
        <v>4.8000000000000001E-2</v>
      </c>
      <c r="W6" s="54">
        <v>6.9000000000000006E-2</v>
      </c>
    </row>
    <row r="7" spans="1:23" ht="30" x14ac:dyDescent="0.25">
      <c r="A7" s="135"/>
      <c r="B7" s="136"/>
      <c r="C7" s="149"/>
      <c r="D7" s="50" t="s">
        <v>70</v>
      </c>
      <c r="E7" s="50"/>
      <c r="F7" s="50"/>
      <c r="G7" s="43">
        <v>5</v>
      </c>
      <c r="H7" s="54">
        <v>0.17</v>
      </c>
      <c r="I7" s="54">
        <v>0.17</v>
      </c>
      <c r="J7" s="54">
        <v>0.17</v>
      </c>
      <c r="K7" s="54">
        <v>0.17</v>
      </c>
      <c r="L7" s="54">
        <v>0.17</v>
      </c>
      <c r="M7" s="54">
        <v>0.22700000000000001</v>
      </c>
      <c r="N7" s="54">
        <v>0.22700000000000001</v>
      </c>
      <c r="O7" s="54">
        <v>0.22700000000000001</v>
      </c>
      <c r="P7" s="54">
        <v>0.19600000000000001</v>
      </c>
      <c r="Q7" s="54">
        <v>0.17</v>
      </c>
      <c r="R7" s="54">
        <v>0.17</v>
      </c>
      <c r="S7" s="54">
        <v>0.17</v>
      </c>
      <c r="T7" s="54">
        <v>0.17</v>
      </c>
      <c r="U7" s="54">
        <v>0.17</v>
      </c>
      <c r="V7" s="54">
        <v>0.17</v>
      </c>
      <c r="W7" s="54">
        <v>0.17</v>
      </c>
    </row>
    <row r="8" spans="1:23" ht="30" x14ac:dyDescent="0.25">
      <c r="A8" s="135"/>
      <c r="B8" s="136"/>
      <c r="C8" s="149"/>
      <c r="D8" s="50" t="s">
        <v>69</v>
      </c>
      <c r="E8" s="50"/>
      <c r="F8" s="50"/>
      <c r="G8" s="43">
        <v>6</v>
      </c>
      <c r="H8" s="54">
        <v>0.16</v>
      </c>
      <c r="I8" s="53">
        <v>0.16</v>
      </c>
      <c r="J8" s="53">
        <v>0.16</v>
      </c>
      <c r="K8" s="53">
        <v>0.184</v>
      </c>
      <c r="L8" s="53">
        <v>0.21099999999999999</v>
      </c>
      <c r="M8" s="53">
        <v>0.69</v>
      </c>
      <c r="N8" s="53">
        <v>0.69</v>
      </c>
      <c r="O8" s="53">
        <v>0.69</v>
      </c>
      <c r="P8" s="53">
        <v>0.69</v>
      </c>
      <c r="Q8" s="53">
        <v>0.69</v>
      </c>
      <c r="R8" s="53">
        <v>0.184</v>
      </c>
      <c r="S8" s="53">
        <v>0.253</v>
      </c>
      <c r="T8" s="53">
        <v>0.21099999999999999</v>
      </c>
      <c r="U8" s="53">
        <v>0.184</v>
      </c>
      <c r="V8" s="53">
        <v>0.184</v>
      </c>
      <c r="W8" s="83">
        <v>0.16</v>
      </c>
    </row>
    <row r="9" spans="1:23" ht="60.75" thickBot="1" x14ac:dyDescent="0.3">
      <c r="A9" s="135"/>
      <c r="B9" s="136"/>
      <c r="C9" s="145"/>
      <c r="D9" s="73" t="s">
        <v>68</v>
      </c>
      <c r="E9" s="73"/>
      <c r="F9" s="73"/>
      <c r="G9" s="72">
        <v>7</v>
      </c>
      <c r="H9" s="80">
        <v>5.8999999999999997E-2</v>
      </c>
      <c r="I9" s="80">
        <v>5.8999999999999997E-2</v>
      </c>
      <c r="J9" s="80">
        <v>5.8999999999999997E-2</v>
      </c>
      <c r="K9" s="80">
        <v>5.8999999999999997E-2</v>
      </c>
      <c r="L9" s="80">
        <v>5.8999999999999997E-2</v>
      </c>
      <c r="M9" s="80">
        <v>5.8999999999999997E-2</v>
      </c>
      <c r="N9" s="80">
        <v>5.8999999999999997E-2</v>
      </c>
      <c r="O9" s="80">
        <v>5.8999999999999997E-2</v>
      </c>
      <c r="P9" s="80">
        <v>5.8999999999999997E-2</v>
      </c>
      <c r="Q9" s="80">
        <v>5.8999999999999997E-2</v>
      </c>
      <c r="R9" s="80">
        <v>4.2000000000000003E-2</v>
      </c>
      <c r="S9" s="80">
        <v>5.8999999999999997E-2</v>
      </c>
      <c r="T9" s="80">
        <v>5.8999999999999997E-2</v>
      </c>
      <c r="U9" s="80">
        <v>4.2000000000000003E-2</v>
      </c>
      <c r="V9" s="80">
        <v>4.2000000000000003E-2</v>
      </c>
      <c r="W9" s="80">
        <v>4.2000000000000003E-2</v>
      </c>
    </row>
    <row r="10" spans="1:23" ht="30" x14ac:dyDescent="0.25">
      <c r="A10" s="135"/>
      <c r="B10" s="136"/>
      <c r="C10" s="144" t="s">
        <v>67</v>
      </c>
      <c r="D10" s="78" t="s">
        <v>66</v>
      </c>
      <c r="E10" s="78"/>
      <c r="F10" s="78"/>
      <c r="G10" s="77">
        <v>8</v>
      </c>
      <c r="H10" s="76">
        <v>4.4999999999999998E-2</v>
      </c>
      <c r="I10" s="82">
        <v>4.4999999999999998E-2</v>
      </c>
      <c r="J10" s="82">
        <v>5.8000000000000003E-2</v>
      </c>
      <c r="K10" s="82">
        <v>5.8000000000000003E-2</v>
      </c>
      <c r="L10" s="82">
        <v>5.8000000000000003E-2</v>
      </c>
      <c r="M10" s="82">
        <v>6.9000000000000006E-2</v>
      </c>
      <c r="N10" s="82">
        <v>9.1999999999999998E-2</v>
      </c>
      <c r="O10" s="82">
        <v>9.1999999999999998E-2</v>
      </c>
      <c r="P10" s="82">
        <v>9.1999999999999998E-2</v>
      </c>
      <c r="Q10" s="82">
        <v>0.66900000000000004</v>
      </c>
      <c r="R10" s="82">
        <v>5.8000000000000003E-2</v>
      </c>
      <c r="S10" s="82">
        <v>5.8000000000000003E-2</v>
      </c>
      <c r="T10" s="82">
        <v>5.8000000000000003E-2</v>
      </c>
      <c r="U10" s="82">
        <v>4.4999999999999998E-2</v>
      </c>
      <c r="V10" s="82">
        <v>5.8000000000000003E-2</v>
      </c>
      <c r="W10" s="82">
        <v>3.6999999999999998E-2</v>
      </c>
    </row>
    <row r="11" spans="1:23" ht="15.75" thickBot="1" x14ac:dyDescent="0.3">
      <c r="A11" s="135"/>
      <c r="B11" s="136"/>
      <c r="C11" s="145"/>
      <c r="D11" s="73" t="s">
        <v>65</v>
      </c>
      <c r="E11" s="73"/>
      <c r="F11" s="73"/>
      <c r="G11" s="72">
        <v>9</v>
      </c>
      <c r="H11" s="80">
        <v>3.4000000000000002E-2</v>
      </c>
      <c r="I11" s="81">
        <v>3.4000000000000002E-2</v>
      </c>
      <c r="J11" s="81">
        <v>3.9E-2</v>
      </c>
      <c r="K11" s="81">
        <v>3.9E-2</v>
      </c>
      <c r="L11" s="81">
        <v>3.9E-2</v>
      </c>
      <c r="M11" s="81">
        <v>3.9E-2</v>
      </c>
      <c r="N11" s="81">
        <v>7.0999999999999994E-2</v>
      </c>
      <c r="O11" s="81">
        <v>3.9E-2</v>
      </c>
      <c r="P11" s="81">
        <v>3.9E-2</v>
      </c>
      <c r="Q11" s="81">
        <v>3.9E-2</v>
      </c>
      <c r="R11" s="81">
        <v>3.9E-2</v>
      </c>
      <c r="S11" s="81">
        <v>3.9E-2</v>
      </c>
      <c r="T11" s="81">
        <v>3.9E-2</v>
      </c>
      <c r="U11" s="81">
        <v>3.4000000000000002E-2</v>
      </c>
      <c r="V11" s="81">
        <v>3.9E-2</v>
      </c>
      <c r="W11" s="81">
        <v>3.4000000000000002E-2</v>
      </c>
    </row>
    <row r="12" spans="1:23" ht="60" x14ac:dyDescent="0.25">
      <c r="A12" s="135"/>
      <c r="B12" s="136" t="s">
        <v>64</v>
      </c>
      <c r="C12" s="144" t="s">
        <v>63</v>
      </c>
      <c r="D12" s="78" t="s">
        <v>61</v>
      </c>
      <c r="E12" s="78"/>
      <c r="F12" s="78"/>
      <c r="G12" s="77">
        <v>10</v>
      </c>
      <c r="H12" s="75" t="s">
        <v>39</v>
      </c>
      <c r="I12" s="75" t="s">
        <v>39</v>
      </c>
      <c r="J12" s="75" t="s">
        <v>39</v>
      </c>
      <c r="K12" s="75" t="s">
        <v>39</v>
      </c>
      <c r="L12" s="75" t="s">
        <v>39</v>
      </c>
      <c r="M12" s="75" t="s">
        <v>39</v>
      </c>
      <c r="N12" s="75" t="s">
        <v>39</v>
      </c>
      <c r="O12" s="75" t="s">
        <v>39</v>
      </c>
      <c r="P12" s="75">
        <v>0.55000000000000004</v>
      </c>
      <c r="Q12" s="75">
        <v>0.55000000000000004</v>
      </c>
      <c r="R12" s="75">
        <v>0.55000000000000004</v>
      </c>
      <c r="S12" s="75" t="s">
        <v>39</v>
      </c>
      <c r="T12" s="75">
        <v>0.55000000000000004</v>
      </c>
      <c r="U12" s="75">
        <v>0.55000000000000004</v>
      </c>
      <c r="V12" s="75">
        <v>0.55000000000000004</v>
      </c>
      <c r="W12" s="74" t="s">
        <v>39</v>
      </c>
    </row>
    <row r="13" spans="1:23" ht="45.75" thickBot="1" x14ac:dyDescent="0.3">
      <c r="A13" s="135"/>
      <c r="B13" s="136"/>
      <c r="C13" s="145"/>
      <c r="D13" s="73" t="s">
        <v>60</v>
      </c>
      <c r="E13" s="73"/>
      <c r="F13" s="73"/>
      <c r="G13" s="72">
        <v>11</v>
      </c>
      <c r="H13" s="80" t="s">
        <v>39</v>
      </c>
      <c r="I13" s="80" t="s">
        <v>39</v>
      </c>
      <c r="J13" s="80" t="s">
        <v>39</v>
      </c>
      <c r="K13" s="80" t="s">
        <v>39</v>
      </c>
      <c r="L13" s="80" t="s">
        <v>39</v>
      </c>
      <c r="M13" s="80" t="s">
        <v>39</v>
      </c>
      <c r="N13" s="80" t="s">
        <v>39</v>
      </c>
      <c r="O13" s="80" t="s">
        <v>39</v>
      </c>
      <c r="P13" s="70">
        <v>0.75</v>
      </c>
      <c r="Q13" s="70">
        <v>0.75</v>
      </c>
      <c r="R13" s="70">
        <v>0.75</v>
      </c>
      <c r="S13" s="70" t="s">
        <v>39</v>
      </c>
      <c r="T13" s="70">
        <v>0.75</v>
      </c>
      <c r="U13" s="70">
        <v>0.75</v>
      </c>
      <c r="V13" s="70">
        <v>0.75</v>
      </c>
      <c r="W13" s="69" t="s">
        <v>39</v>
      </c>
    </row>
    <row r="14" spans="1:23" ht="60" x14ac:dyDescent="0.25">
      <c r="A14" s="135"/>
      <c r="B14" s="136"/>
      <c r="C14" s="144" t="s">
        <v>62</v>
      </c>
      <c r="D14" s="78" t="s">
        <v>61</v>
      </c>
      <c r="E14" s="78"/>
      <c r="F14" s="78"/>
      <c r="G14" s="77">
        <v>12</v>
      </c>
      <c r="H14" s="76" t="s">
        <v>39</v>
      </c>
      <c r="I14" s="75">
        <v>0.2</v>
      </c>
      <c r="J14" s="75">
        <v>0.2</v>
      </c>
      <c r="K14" s="75">
        <v>0.2</v>
      </c>
      <c r="L14" s="75">
        <v>0.2</v>
      </c>
      <c r="M14" s="75">
        <v>0.2</v>
      </c>
      <c r="N14" s="75">
        <v>0.2</v>
      </c>
      <c r="O14" s="75">
        <v>0.2</v>
      </c>
      <c r="P14" s="75">
        <v>0.2</v>
      </c>
      <c r="Q14" s="75">
        <v>0.2</v>
      </c>
      <c r="R14" s="75">
        <v>0.2</v>
      </c>
      <c r="S14" s="75">
        <v>0.2</v>
      </c>
      <c r="T14" s="75">
        <v>0.2</v>
      </c>
      <c r="U14" s="75">
        <v>0.2</v>
      </c>
      <c r="V14" s="75">
        <v>0.2</v>
      </c>
      <c r="W14" s="74" t="s">
        <v>39</v>
      </c>
    </row>
    <row r="15" spans="1:23" ht="45.75" thickBot="1" x14ac:dyDescent="0.3">
      <c r="A15" s="135"/>
      <c r="B15" s="136"/>
      <c r="C15" s="145"/>
      <c r="D15" s="73" t="s">
        <v>60</v>
      </c>
      <c r="E15" s="73"/>
      <c r="F15" s="73"/>
      <c r="G15" s="72">
        <v>13</v>
      </c>
      <c r="H15" s="71" t="s">
        <v>39</v>
      </c>
      <c r="I15" s="70">
        <v>0.75</v>
      </c>
      <c r="J15" s="70">
        <v>0.75</v>
      </c>
      <c r="K15" s="70">
        <v>0.75</v>
      </c>
      <c r="L15" s="70">
        <v>0.75</v>
      </c>
      <c r="M15" s="70">
        <v>0.75</v>
      </c>
      <c r="N15" s="70">
        <v>0.75</v>
      </c>
      <c r="O15" s="70">
        <v>0.75</v>
      </c>
      <c r="P15" s="70">
        <v>0.75</v>
      </c>
      <c r="Q15" s="70">
        <v>0.75</v>
      </c>
      <c r="R15" s="70">
        <v>0.75</v>
      </c>
      <c r="S15" s="70">
        <v>0.75</v>
      </c>
      <c r="T15" s="70">
        <v>0.75</v>
      </c>
      <c r="U15" s="70">
        <v>0.75</v>
      </c>
      <c r="V15" s="70">
        <v>0.75</v>
      </c>
      <c r="W15" s="69" t="s">
        <v>39</v>
      </c>
    </row>
    <row r="16" spans="1:23" ht="30" customHeight="1" x14ac:dyDescent="0.25">
      <c r="A16" s="135"/>
      <c r="B16" s="132" t="s">
        <v>59</v>
      </c>
      <c r="C16" s="146"/>
      <c r="D16" s="146"/>
      <c r="E16" s="68"/>
      <c r="F16" s="68"/>
      <c r="G16" s="55">
        <v>14</v>
      </c>
      <c r="H16" s="67" t="s">
        <v>81</v>
      </c>
      <c r="I16" s="66" t="s">
        <v>81</v>
      </c>
      <c r="J16" s="66" t="s">
        <v>81</v>
      </c>
      <c r="K16" s="66" t="s">
        <v>81</v>
      </c>
      <c r="L16" s="66" t="s">
        <v>81</v>
      </c>
      <c r="M16" s="66" t="s">
        <v>81</v>
      </c>
      <c r="N16" s="66" t="s">
        <v>39</v>
      </c>
      <c r="O16" s="66" t="s">
        <v>81</v>
      </c>
      <c r="P16" s="66" t="s">
        <v>81</v>
      </c>
      <c r="Q16" s="66" t="s">
        <v>81</v>
      </c>
      <c r="R16" s="66" t="s">
        <v>81</v>
      </c>
      <c r="S16" s="66" t="s">
        <v>81</v>
      </c>
      <c r="T16" s="66" t="s">
        <v>81</v>
      </c>
      <c r="U16" s="66" t="s">
        <v>81</v>
      </c>
      <c r="V16" s="66" t="s">
        <v>81</v>
      </c>
      <c r="W16" s="65" t="s">
        <v>81</v>
      </c>
    </row>
    <row r="17" spans="1:23" ht="30" x14ac:dyDescent="0.25">
      <c r="A17" s="135"/>
      <c r="B17" s="133" t="s">
        <v>58</v>
      </c>
      <c r="C17" s="133"/>
      <c r="D17" s="50" t="s">
        <v>57</v>
      </c>
      <c r="E17" s="50"/>
      <c r="F17" s="50"/>
      <c r="G17" s="43">
        <v>15</v>
      </c>
      <c r="H17" s="42">
        <v>0.5</v>
      </c>
      <c r="I17" s="44">
        <v>1.45</v>
      </c>
      <c r="J17" s="44">
        <v>1.45</v>
      </c>
      <c r="K17" s="44">
        <v>1.45</v>
      </c>
      <c r="L17" s="44">
        <v>1.45</v>
      </c>
      <c r="M17" s="44">
        <v>1.45</v>
      </c>
      <c r="N17" s="44">
        <v>1.45</v>
      </c>
      <c r="O17" s="44">
        <v>1.45</v>
      </c>
      <c r="P17" s="44">
        <v>1.45</v>
      </c>
      <c r="Q17" s="44">
        <v>1.45</v>
      </c>
      <c r="R17" s="44">
        <v>1.45</v>
      </c>
      <c r="S17" s="44">
        <v>1.45</v>
      </c>
      <c r="T17" s="44">
        <v>1.45</v>
      </c>
      <c r="U17" s="44">
        <v>1.45</v>
      </c>
      <c r="V17" s="44">
        <v>1.45</v>
      </c>
      <c r="W17" s="51">
        <v>0.5</v>
      </c>
    </row>
    <row r="18" spans="1:23" x14ac:dyDescent="0.25">
      <c r="A18" s="135"/>
      <c r="B18" s="133"/>
      <c r="C18" s="133"/>
      <c r="D18" s="50" t="s">
        <v>56</v>
      </c>
      <c r="E18" s="49"/>
      <c r="F18" s="49"/>
      <c r="G18" s="36">
        <v>16</v>
      </c>
      <c r="H18" s="39">
        <v>0.7</v>
      </c>
      <c r="I18" s="48">
        <v>0.7</v>
      </c>
      <c r="J18" s="48">
        <v>0.7</v>
      </c>
      <c r="K18" s="48">
        <v>0.7</v>
      </c>
      <c r="L18" s="48">
        <v>0.7</v>
      </c>
      <c r="M18" s="48">
        <v>0.7</v>
      </c>
      <c r="N18" s="48">
        <v>0.7</v>
      </c>
      <c r="O18" s="48">
        <v>0.7</v>
      </c>
      <c r="P18" s="48">
        <v>0.7</v>
      </c>
      <c r="Q18" s="48">
        <v>0.7</v>
      </c>
      <c r="R18" s="48">
        <v>0.7</v>
      </c>
      <c r="S18" s="48">
        <v>0.7</v>
      </c>
      <c r="T18" s="48">
        <v>0.7</v>
      </c>
      <c r="U18" s="48">
        <v>0.7</v>
      </c>
      <c r="V18" s="48">
        <v>0.7</v>
      </c>
      <c r="W18" s="47">
        <v>0.7</v>
      </c>
    </row>
    <row r="19" spans="1:23" ht="15" customHeight="1" x14ac:dyDescent="0.25"/>
    <row r="20" spans="1:23" ht="15" customHeight="1" x14ac:dyDescent="0.25"/>
    <row r="21" spans="1:23" ht="15" customHeight="1" x14ac:dyDescent="0.25"/>
    <row r="23" spans="1:23" ht="15" customHeight="1" x14ac:dyDescent="0.25"/>
    <row r="24" spans="1:23" ht="15" customHeight="1" x14ac:dyDescent="0.25"/>
    <row r="25" spans="1:23" ht="15" customHeight="1" x14ac:dyDescent="0.25"/>
    <row r="27" spans="1:23" ht="15" customHeight="1" x14ac:dyDescent="0.25"/>
    <row r="28" spans="1:23" ht="15" customHeight="1" x14ac:dyDescent="0.25"/>
    <row r="29" spans="1:23" ht="15" customHeight="1" x14ac:dyDescent="0.25"/>
    <row r="31" spans="1:23" ht="15" customHeight="1" x14ac:dyDescent="0.25"/>
    <row r="32" spans="1:23" ht="15" customHeight="1" x14ac:dyDescent="0.25"/>
    <row r="33" ht="15" customHeight="1" x14ac:dyDescent="0.25"/>
  </sheetData>
  <mergeCells count="11">
    <mergeCell ref="C14:C15"/>
    <mergeCell ref="A3:A18"/>
    <mergeCell ref="G1:V1"/>
    <mergeCell ref="B16:D16"/>
    <mergeCell ref="B17:C18"/>
    <mergeCell ref="B3:B11"/>
    <mergeCell ref="C3:C4"/>
    <mergeCell ref="C5:C9"/>
    <mergeCell ref="C10:C11"/>
    <mergeCell ref="B12:B15"/>
    <mergeCell ref="C12:C13"/>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EF1AF-32C5-467C-BDA9-37D00B472C9E}">
  <dimension ref="A1:N35"/>
  <sheetViews>
    <sheetView workbookViewId="0">
      <selection activeCell="Q20" sqref="Q20"/>
    </sheetView>
  </sheetViews>
  <sheetFormatPr defaultRowHeight="15" x14ac:dyDescent="0.25"/>
  <cols>
    <col min="1" max="1" width="11.85546875" customWidth="1"/>
    <col min="2" max="2" width="10" customWidth="1"/>
    <col min="9" max="9" width="10.5703125" customWidth="1"/>
  </cols>
  <sheetData>
    <row r="1" spans="1:14" ht="21" x14ac:dyDescent="0.35">
      <c r="A1" s="99" t="s">
        <v>6</v>
      </c>
      <c r="B1" s="99"/>
      <c r="C1" s="99"/>
      <c r="D1" s="99"/>
      <c r="E1" s="99"/>
    </row>
    <row r="2" spans="1:14" ht="15" customHeight="1" x14ac:dyDescent="0.35">
      <c r="A2" s="5"/>
      <c r="B2" s="2" t="s">
        <v>21</v>
      </c>
      <c r="C2" s="14"/>
      <c r="D2" s="14"/>
      <c r="E2" s="14"/>
    </row>
    <row r="3" spans="1:14" ht="15" customHeight="1" x14ac:dyDescent="0.35">
      <c r="A3" s="7"/>
      <c r="B3" s="2" t="s">
        <v>22</v>
      </c>
      <c r="C3" s="14"/>
      <c r="D3" s="14"/>
      <c r="E3" s="14"/>
    </row>
    <row r="5" spans="1:14" x14ac:dyDescent="0.25">
      <c r="A5" s="3" t="s">
        <v>108</v>
      </c>
      <c r="J5" s="97" t="s">
        <v>79</v>
      </c>
      <c r="K5" s="5"/>
    </row>
    <row r="6" spans="1:14" ht="18" x14ac:dyDescent="0.35">
      <c r="A6" t="s">
        <v>107</v>
      </c>
    </row>
    <row r="7" spans="1:14" ht="18" x14ac:dyDescent="0.35">
      <c r="A7" t="s">
        <v>111</v>
      </c>
      <c r="J7" t="s">
        <v>145</v>
      </c>
      <c r="M7" t="s">
        <v>146</v>
      </c>
    </row>
    <row r="8" spans="1:14" x14ac:dyDescent="0.25">
      <c r="A8" t="s">
        <v>109</v>
      </c>
      <c r="J8" s="139" t="s">
        <v>31</v>
      </c>
      <c r="K8" s="139"/>
      <c r="M8" s="139" t="s">
        <v>142</v>
      </c>
      <c r="N8" s="139"/>
    </row>
    <row r="9" spans="1:14" ht="18" x14ac:dyDescent="0.35">
      <c r="A9" t="s">
        <v>110</v>
      </c>
      <c r="J9" s="2" t="s">
        <v>136</v>
      </c>
      <c r="K9" s="5"/>
      <c r="M9" s="2" t="s">
        <v>137</v>
      </c>
      <c r="N9" s="7">
        <f>K11</f>
        <v>0</v>
      </c>
    </row>
    <row r="10" spans="1:14" x14ac:dyDescent="0.25">
      <c r="J10" s="2" t="s">
        <v>27</v>
      </c>
      <c r="K10" s="5"/>
      <c r="M10" s="2" t="s">
        <v>28</v>
      </c>
      <c r="N10" s="5"/>
    </row>
    <row r="11" spans="1:14" ht="15" customHeight="1" x14ac:dyDescent="0.35">
      <c r="A11" s="3" t="s">
        <v>124</v>
      </c>
      <c r="J11" s="2" t="s">
        <v>137</v>
      </c>
      <c r="K11" s="7">
        <f>(K9*K10)/1000</f>
        <v>0</v>
      </c>
      <c r="M11" s="2" t="s">
        <v>29</v>
      </c>
      <c r="N11" s="5"/>
    </row>
    <row r="12" spans="1:14" ht="18" x14ac:dyDescent="0.35">
      <c r="A12" t="s">
        <v>125</v>
      </c>
      <c r="M12" s="2" t="s">
        <v>143</v>
      </c>
      <c r="N12" s="5"/>
    </row>
    <row r="13" spans="1:14" ht="18" x14ac:dyDescent="0.35">
      <c r="A13" t="s">
        <v>128</v>
      </c>
      <c r="M13" s="2" t="s">
        <v>147</v>
      </c>
      <c r="N13" s="7" t="e">
        <f>(N9*N10/(N12^0.5))+(N9*N11)</f>
        <v>#DIV/0!</v>
      </c>
    </row>
    <row r="14" spans="1:14" ht="18" x14ac:dyDescent="0.35">
      <c r="A14" t="s">
        <v>129</v>
      </c>
    </row>
    <row r="15" spans="1:14" ht="15" customHeight="1" x14ac:dyDescent="0.25">
      <c r="A15" t="s">
        <v>126</v>
      </c>
    </row>
    <row r="16" spans="1:14" x14ac:dyDescent="0.25">
      <c r="A16" t="s">
        <v>127</v>
      </c>
    </row>
    <row r="18" spans="1:14" x14ac:dyDescent="0.25">
      <c r="A18" s="3" t="s">
        <v>138</v>
      </c>
    </row>
    <row r="19" spans="1:14" ht="18" x14ac:dyDescent="0.35">
      <c r="A19" t="s">
        <v>144</v>
      </c>
    </row>
    <row r="20" spans="1:14" ht="18" x14ac:dyDescent="0.35">
      <c r="A20" t="s">
        <v>140</v>
      </c>
    </row>
    <row r="21" spans="1:14" ht="18" x14ac:dyDescent="0.35">
      <c r="A21" t="s">
        <v>141</v>
      </c>
    </row>
    <row r="22" spans="1:14" x14ac:dyDescent="0.25">
      <c r="A22" t="s">
        <v>139</v>
      </c>
    </row>
    <row r="25" spans="1:14" ht="34.5" customHeight="1" x14ac:dyDescent="0.25">
      <c r="A25" s="132" t="s">
        <v>123</v>
      </c>
      <c r="B25" s="132"/>
      <c r="C25" s="132"/>
      <c r="D25" s="155" t="s">
        <v>112</v>
      </c>
      <c r="E25" s="155"/>
      <c r="F25" s="155"/>
      <c r="H25" s="139" t="s">
        <v>130</v>
      </c>
      <c r="I25" s="139"/>
      <c r="J25" s="139"/>
      <c r="K25" s="150" t="s">
        <v>132</v>
      </c>
      <c r="L25" s="150"/>
      <c r="M25" s="150" t="s">
        <v>133</v>
      </c>
      <c r="N25" s="150"/>
    </row>
    <row r="26" spans="1:14" x14ac:dyDescent="0.25">
      <c r="A26" s="151" t="s">
        <v>113</v>
      </c>
      <c r="B26" s="152"/>
      <c r="C26" s="153"/>
      <c r="D26" s="60" t="s">
        <v>121</v>
      </c>
      <c r="E26" s="60" t="s">
        <v>122</v>
      </c>
      <c r="F26" s="60">
        <v>15</v>
      </c>
      <c r="H26" s="139" t="s">
        <v>131</v>
      </c>
      <c r="I26" s="139"/>
      <c r="J26" s="139"/>
      <c r="K26" s="139" t="s">
        <v>134</v>
      </c>
      <c r="L26" s="139"/>
      <c r="M26" s="139" t="s">
        <v>135</v>
      </c>
      <c r="N26" s="139"/>
    </row>
    <row r="27" spans="1:14" x14ac:dyDescent="0.25">
      <c r="A27" s="101" t="s">
        <v>114</v>
      </c>
      <c r="B27" s="101"/>
      <c r="C27" s="101"/>
      <c r="D27" s="17">
        <v>2.62</v>
      </c>
      <c r="E27" s="17">
        <v>2.91</v>
      </c>
      <c r="F27" s="17">
        <v>3.53</v>
      </c>
      <c r="H27" s="101" t="s">
        <v>114</v>
      </c>
      <c r="I27" s="101"/>
      <c r="J27" s="101"/>
      <c r="K27" s="165">
        <v>1.03</v>
      </c>
      <c r="L27" s="165"/>
      <c r="M27" s="165">
        <v>0.26</v>
      </c>
      <c r="N27" s="165"/>
    </row>
    <row r="28" spans="1:14" x14ac:dyDescent="0.25">
      <c r="A28" s="101" t="s">
        <v>115</v>
      </c>
      <c r="B28" s="101"/>
      <c r="C28" s="101"/>
      <c r="D28" s="17">
        <v>1.82</v>
      </c>
      <c r="E28" s="17">
        <v>2.21</v>
      </c>
      <c r="F28" s="17">
        <v>2.77</v>
      </c>
      <c r="H28" s="101" t="s">
        <v>115</v>
      </c>
      <c r="I28" s="101"/>
      <c r="J28" s="101"/>
      <c r="K28" s="165">
        <v>1.03</v>
      </c>
      <c r="L28" s="165"/>
      <c r="M28" s="165">
        <v>0.26</v>
      </c>
      <c r="N28" s="165"/>
    </row>
    <row r="29" spans="1:14" x14ac:dyDescent="0.25">
      <c r="A29" s="154" t="s">
        <v>116</v>
      </c>
      <c r="B29" s="154"/>
      <c r="C29" s="154"/>
      <c r="D29" s="17">
        <v>2.59</v>
      </c>
      <c r="E29" s="17">
        <v>3.13</v>
      </c>
      <c r="F29" s="17">
        <v>3.8</v>
      </c>
      <c r="H29" s="154" t="s">
        <v>116</v>
      </c>
      <c r="I29" s="154"/>
      <c r="J29" s="154"/>
      <c r="K29" s="165">
        <v>1.68</v>
      </c>
      <c r="L29" s="165"/>
      <c r="M29" s="165">
        <v>0.42</v>
      </c>
      <c r="N29" s="165"/>
    </row>
    <row r="30" spans="1:14" x14ac:dyDescent="0.25">
      <c r="A30" s="101" t="s">
        <v>117</v>
      </c>
      <c r="B30" s="101"/>
      <c r="C30" s="101"/>
      <c r="D30" s="17">
        <v>2.62</v>
      </c>
      <c r="E30" s="17">
        <v>2.91</v>
      </c>
      <c r="F30" s="17">
        <v>3.53</v>
      </c>
      <c r="H30" s="101" t="s">
        <v>117</v>
      </c>
      <c r="I30" s="101"/>
      <c r="J30" s="101"/>
      <c r="K30" s="165">
        <v>1.03</v>
      </c>
      <c r="L30" s="165"/>
      <c r="M30" s="165">
        <v>0.26</v>
      </c>
      <c r="N30" s="165"/>
    </row>
    <row r="31" spans="1:14" x14ac:dyDescent="0.25">
      <c r="A31" s="101" t="s">
        <v>118</v>
      </c>
      <c r="B31" s="101"/>
      <c r="C31" s="101"/>
      <c r="D31" s="17">
        <v>1.27</v>
      </c>
      <c r="E31" s="17">
        <v>1.63</v>
      </c>
      <c r="F31" s="17">
        <v>2.46</v>
      </c>
      <c r="H31" s="101" t="s">
        <v>118</v>
      </c>
      <c r="I31" s="101"/>
      <c r="J31" s="101"/>
      <c r="K31" s="165">
        <v>1.87</v>
      </c>
      <c r="L31" s="165"/>
      <c r="M31" s="165">
        <v>0.46</v>
      </c>
      <c r="N31" s="165"/>
    </row>
    <row r="32" spans="1:14" x14ac:dyDescent="0.25">
      <c r="A32" s="101" t="s">
        <v>119</v>
      </c>
      <c r="B32" s="101"/>
      <c r="C32" s="101"/>
      <c r="D32" s="17">
        <v>0.39</v>
      </c>
      <c r="E32" s="17">
        <v>0.44</v>
      </c>
      <c r="F32" s="17">
        <v>0.57999999999999996</v>
      </c>
      <c r="H32" s="101" t="s">
        <v>119</v>
      </c>
      <c r="I32" s="101"/>
      <c r="J32" s="101"/>
      <c r="K32" s="165">
        <v>0.93</v>
      </c>
      <c r="L32" s="165"/>
      <c r="M32" s="165">
        <v>0.23</v>
      </c>
      <c r="N32" s="165"/>
    </row>
    <row r="33" spans="1:14" x14ac:dyDescent="0.25">
      <c r="A33" s="154" t="s">
        <v>120</v>
      </c>
      <c r="B33" s="154"/>
      <c r="C33" s="154"/>
      <c r="D33" s="156">
        <v>0.39</v>
      </c>
      <c r="E33" s="156">
        <v>0.44</v>
      </c>
      <c r="F33" s="156">
        <v>0.57999999999999996</v>
      </c>
      <c r="H33" s="154" t="s">
        <v>120</v>
      </c>
      <c r="I33" s="154"/>
      <c r="J33" s="154"/>
      <c r="K33" s="159">
        <v>0.93</v>
      </c>
      <c r="L33" s="160"/>
      <c r="M33" s="159">
        <v>0.23</v>
      </c>
      <c r="N33" s="160"/>
    </row>
    <row r="34" spans="1:14" x14ac:dyDescent="0.25">
      <c r="A34" s="154"/>
      <c r="B34" s="154"/>
      <c r="C34" s="154"/>
      <c r="D34" s="157"/>
      <c r="E34" s="157"/>
      <c r="F34" s="157"/>
      <c r="H34" s="154"/>
      <c r="I34" s="154"/>
      <c r="J34" s="154"/>
      <c r="K34" s="161"/>
      <c r="L34" s="162"/>
      <c r="M34" s="161"/>
      <c r="N34" s="162"/>
    </row>
    <row r="35" spans="1:14" x14ac:dyDescent="0.25">
      <c r="A35" s="154"/>
      <c r="B35" s="154"/>
      <c r="C35" s="154"/>
      <c r="D35" s="158"/>
      <c r="E35" s="158"/>
      <c r="F35" s="158"/>
      <c r="H35" s="154"/>
      <c r="I35" s="154"/>
      <c r="J35" s="154"/>
      <c r="K35" s="163"/>
      <c r="L35" s="164"/>
      <c r="M35" s="163"/>
      <c r="N35" s="164"/>
    </row>
  </sheetData>
  <mergeCells count="43">
    <mergeCell ref="J8:K8"/>
    <mergeCell ref="M8:N8"/>
    <mergeCell ref="M30:N30"/>
    <mergeCell ref="M31:N31"/>
    <mergeCell ref="M32:N32"/>
    <mergeCell ref="M25:N25"/>
    <mergeCell ref="K26:L26"/>
    <mergeCell ref="M26:N26"/>
    <mergeCell ref="K27:L27"/>
    <mergeCell ref="K28:L28"/>
    <mergeCell ref="K29:L29"/>
    <mergeCell ref="M27:N27"/>
    <mergeCell ref="M28:N28"/>
    <mergeCell ref="M29:N29"/>
    <mergeCell ref="H28:J28"/>
    <mergeCell ref="H29:J29"/>
    <mergeCell ref="M33:N35"/>
    <mergeCell ref="K30:L30"/>
    <mergeCell ref="K31:L31"/>
    <mergeCell ref="K32:L32"/>
    <mergeCell ref="K33:L35"/>
    <mergeCell ref="D33:D35"/>
    <mergeCell ref="E33:E35"/>
    <mergeCell ref="F33:F35"/>
    <mergeCell ref="H27:J27"/>
    <mergeCell ref="H25:J25"/>
    <mergeCell ref="H26:J26"/>
    <mergeCell ref="K25:L25"/>
    <mergeCell ref="A26:C26"/>
    <mergeCell ref="A1:E1"/>
    <mergeCell ref="A33:C35"/>
    <mergeCell ref="A32:C32"/>
    <mergeCell ref="A31:C31"/>
    <mergeCell ref="A30:C30"/>
    <mergeCell ref="A29:C29"/>
    <mergeCell ref="A28:C28"/>
    <mergeCell ref="A27:C27"/>
    <mergeCell ref="A25:C25"/>
    <mergeCell ref="H30:J30"/>
    <mergeCell ref="H31:J31"/>
    <mergeCell ref="H32:J32"/>
    <mergeCell ref="H33:J35"/>
    <mergeCell ref="D25:F2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507B-F635-473C-BBA3-473BC90A855A}">
  <dimension ref="B3:E75"/>
  <sheetViews>
    <sheetView workbookViewId="0">
      <selection activeCell="L22" sqref="L22"/>
    </sheetView>
  </sheetViews>
  <sheetFormatPr defaultRowHeight="15" x14ac:dyDescent="0.25"/>
  <cols>
    <col min="2" max="2" width="12.140625" customWidth="1"/>
    <col min="3" max="3" width="24.85546875" customWidth="1"/>
    <col min="4" max="4" width="22.85546875" customWidth="1"/>
  </cols>
  <sheetData>
    <row r="3" spans="2:3" x14ac:dyDescent="0.25">
      <c r="B3" t="s">
        <v>204</v>
      </c>
    </row>
    <row r="4" spans="2:3" x14ac:dyDescent="0.25">
      <c r="C4" t="s">
        <v>205</v>
      </c>
    </row>
    <row r="5" spans="2:3" x14ac:dyDescent="0.25">
      <c r="B5" t="s">
        <v>206</v>
      </c>
    </row>
    <row r="6" spans="2:3" x14ac:dyDescent="0.25">
      <c r="C6" t="s">
        <v>207</v>
      </c>
    </row>
    <row r="7" spans="2:3" x14ac:dyDescent="0.25">
      <c r="C7" t="s">
        <v>208</v>
      </c>
    </row>
    <row r="8" spans="2:3" x14ac:dyDescent="0.25">
      <c r="B8" t="s">
        <v>149</v>
      </c>
    </row>
    <row r="9" spans="2:3" x14ac:dyDescent="0.25">
      <c r="C9" t="s">
        <v>150</v>
      </c>
    </row>
    <row r="10" spans="2:3" x14ac:dyDescent="0.25">
      <c r="C10" t="s">
        <v>151</v>
      </c>
    </row>
    <row r="11" spans="2:3" x14ac:dyDescent="0.25">
      <c r="C11" t="s">
        <v>152</v>
      </c>
    </row>
    <row r="12" spans="2:3" x14ac:dyDescent="0.25">
      <c r="C12" t="s">
        <v>153</v>
      </c>
    </row>
    <row r="13" spans="2:3" x14ac:dyDescent="0.25">
      <c r="C13" t="s">
        <v>154</v>
      </c>
    </row>
    <row r="14" spans="2:3" x14ac:dyDescent="0.25">
      <c r="C14" t="s">
        <v>155</v>
      </c>
    </row>
    <row r="15" spans="2:3" x14ac:dyDescent="0.25">
      <c r="B15" t="s">
        <v>79</v>
      </c>
    </row>
    <row r="16" spans="2:3" x14ac:dyDescent="0.25">
      <c r="C16" t="s">
        <v>156</v>
      </c>
    </row>
    <row r="17" spans="2:4" x14ac:dyDescent="0.25">
      <c r="C17" t="s">
        <v>157</v>
      </c>
    </row>
    <row r="18" spans="2:4" x14ac:dyDescent="0.25">
      <c r="C18" t="s">
        <v>210</v>
      </c>
    </row>
    <row r="19" spans="2:4" x14ac:dyDescent="0.25">
      <c r="C19" t="s">
        <v>158</v>
      </c>
    </row>
    <row r="20" spans="2:4" x14ac:dyDescent="0.25">
      <c r="C20" t="s">
        <v>209</v>
      </c>
    </row>
    <row r="21" spans="2:4" x14ac:dyDescent="0.25">
      <c r="C21" s="98" t="s">
        <v>159</v>
      </c>
      <c r="D21" s="98"/>
    </row>
    <row r="22" spans="2:4" x14ac:dyDescent="0.25">
      <c r="C22" t="s">
        <v>160</v>
      </c>
    </row>
    <row r="23" spans="2:4" x14ac:dyDescent="0.25">
      <c r="C23" t="s">
        <v>161</v>
      </c>
    </row>
    <row r="24" spans="2:4" x14ac:dyDescent="0.25">
      <c r="C24" t="s">
        <v>194</v>
      </c>
    </row>
    <row r="25" spans="2:4" x14ac:dyDescent="0.25">
      <c r="C25" t="s">
        <v>162</v>
      </c>
    </row>
    <row r="26" spans="2:4" x14ac:dyDescent="0.25">
      <c r="C26" t="s">
        <v>163</v>
      </c>
    </row>
    <row r="27" spans="2:4" x14ac:dyDescent="0.25">
      <c r="B27" t="s">
        <v>164</v>
      </c>
    </row>
    <row r="28" spans="2:4" x14ac:dyDescent="0.25">
      <c r="C28" t="s">
        <v>165</v>
      </c>
    </row>
    <row r="29" spans="2:4" x14ac:dyDescent="0.25">
      <c r="C29" t="s">
        <v>166</v>
      </c>
    </row>
    <row r="30" spans="2:4" x14ac:dyDescent="0.25">
      <c r="C30" t="s">
        <v>167</v>
      </c>
    </row>
    <row r="31" spans="2:4" x14ac:dyDescent="0.25">
      <c r="C31" t="s">
        <v>168</v>
      </c>
    </row>
    <row r="32" spans="2:4" x14ac:dyDescent="0.25">
      <c r="B32" t="s">
        <v>169</v>
      </c>
    </row>
    <row r="33" spans="2:4" x14ac:dyDescent="0.25">
      <c r="C33" t="s">
        <v>30</v>
      </c>
    </row>
    <row r="34" spans="2:4" x14ac:dyDescent="0.25">
      <c r="C34" t="s">
        <v>167</v>
      </c>
    </row>
    <row r="35" spans="2:4" x14ac:dyDescent="0.25">
      <c r="C35" t="s">
        <v>203</v>
      </c>
    </row>
    <row r="36" spans="2:4" x14ac:dyDescent="0.25">
      <c r="B36" t="s">
        <v>170</v>
      </c>
    </row>
    <row r="37" spans="2:4" x14ac:dyDescent="0.25">
      <c r="C37" t="s">
        <v>171</v>
      </c>
    </row>
    <row r="38" spans="2:4" x14ac:dyDescent="0.25">
      <c r="C38" t="s">
        <v>79</v>
      </c>
    </row>
    <row r="39" spans="2:4" x14ac:dyDescent="0.25">
      <c r="C39" t="s">
        <v>172</v>
      </c>
    </row>
    <row r="40" spans="2:4" x14ac:dyDescent="0.25">
      <c r="B40" t="s">
        <v>173</v>
      </c>
    </row>
    <row r="41" spans="2:4" x14ac:dyDescent="0.25">
      <c r="C41" t="s">
        <v>150</v>
      </c>
    </row>
    <row r="42" spans="2:4" x14ac:dyDescent="0.25">
      <c r="D42" t="s">
        <v>174</v>
      </c>
    </row>
    <row r="43" spans="2:4" x14ac:dyDescent="0.25">
      <c r="C43" t="s">
        <v>155</v>
      </c>
    </row>
    <row r="44" spans="2:4" x14ac:dyDescent="0.25">
      <c r="D44" t="s">
        <v>175</v>
      </c>
    </row>
    <row r="45" spans="2:4" x14ac:dyDescent="0.25">
      <c r="C45" t="s">
        <v>176</v>
      </c>
    </row>
    <row r="46" spans="2:4" x14ac:dyDescent="0.25">
      <c r="D46" t="s">
        <v>174</v>
      </c>
    </row>
    <row r="47" spans="2:4" x14ac:dyDescent="0.25">
      <c r="C47" t="s">
        <v>177</v>
      </c>
    </row>
    <row r="48" spans="2:4" x14ac:dyDescent="0.25">
      <c r="D48" t="s">
        <v>174</v>
      </c>
    </row>
    <row r="49" spans="2:5" x14ac:dyDescent="0.25">
      <c r="B49" t="s">
        <v>178</v>
      </c>
    </row>
    <row r="50" spans="2:5" x14ac:dyDescent="0.25">
      <c r="C50" t="s">
        <v>152</v>
      </c>
    </row>
    <row r="51" spans="2:5" x14ac:dyDescent="0.25">
      <c r="D51" t="s">
        <v>175</v>
      </c>
    </row>
    <row r="52" spans="2:5" x14ac:dyDescent="0.25">
      <c r="D52" t="s">
        <v>179</v>
      </c>
    </row>
    <row r="53" spans="2:5" x14ac:dyDescent="0.25">
      <c r="D53" t="s">
        <v>180</v>
      </c>
    </row>
    <row r="54" spans="2:5" x14ac:dyDescent="0.25">
      <c r="D54" t="s">
        <v>181</v>
      </c>
    </row>
    <row r="55" spans="2:5" x14ac:dyDescent="0.25">
      <c r="D55" t="s">
        <v>182</v>
      </c>
    </row>
    <row r="56" spans="2:5" x14ac:dyDescent="0.25">
      <c r="B56" t="s">
        <v>183</v>
      </c>
      <c r="C56" t="s">
        <v>184</v>
      </c>
    </row>
    <row r="57" spans="2:5" x14ac:dyDescent="0.25">
      <c r="D57" t="s">
        <v>185</v>
      </c>
    </row>
    <row r="58" spans="2:5" x14ac:dyDescent="0.25">
      <c r="D58" t="s">
        <v>186</v>
      </c>
    </row>
    <row r="59" spans="2:5" x14ac:dyDescent="0.25">
      <c r="E59" t="s">
        <v>187</v>
      </c>
    </row>
    <row r="60" spans="2:5" x14ac:dyDescent="0.25">
      <c r="E60" t="s">
        <v>188</v>
      </c>
    </row>
    <row r="61" spans="2:5" x14ac:dyDescent="0.25">
      <c r="E61" t="s">
        <v>189</v>
      </c>
    </row>
    <row r="62" spans="2:5" x14ac:dyDescent="0.25">
      <c r="E62" t="s">
        <v>190</v>
      </c>
    </row>
    <row r="63" spans="2:5" x14ac:dyDescent="0.25">
      <c r="E63" t="s">
        <v>191</v>
      </c>
    </row>
    <row r="64" spans="2:5" x14ac:dyDescent="0.25">
      <c r="D64" t="s">
        <v>192</v>
      </c>
    </row>
    <row r="65" spans="2:5" x14ac:dyDescent="0.25">
      <c r="E65" t="s">
        <v>187</v>
      </c>
    </row>
    <row r="66" spans="2:5" x14ac:dyDescent="0.25">
      <c r="E66" t="s">
        <v>193</v>
      </c>
    </row>
    <row r="67" spans="2:5" x14ac:dyDescent="0.25">
      <c r="E67" t="s">
        <v>190</v>
      </c>
    </row>
    <row r="68" spans="2:5" x14ac:dyDescent="0.25">
      <c r="D68" t="s">
        <v>195</v>
      </c>
    </row>
    <row r="69" spans="2:5" x14ac:dyDescent="0.25">
      <c r="E69" t="s">
        <v>196</v>
      </c>
    </row>
    <row r="70" spans="2:5" x14ac:dyDescent="0.25">
      <c r="D70" t="s">
        <v>197</v>
      </c>
    </row>
    <row r="71" spans="2:5" x14ac:dyDescent="0.25">
      <c r="E71" t="s">
        <v>198</v>
      </c>
    </row>
    <row r="72" spans="2:5" x14ac:dyDescent="0.25">
      <c r="B72" t="s">
        <v>199</v>
      </c>
      <c r="C72" t="s">
        <v>30</v>
      </c>
    </row>
    <row r="73" spans="2:5" x14ac:dyDescent="0.25">
      <c r="D73" t="s">
        <v>201</v>
      </c>
    </row>
    <row r="74" spans="2:5" x14ac:dyDescent="0.25">
      <c r="D74" t="s">
        <v>200</v>
      </c>
    </row>
    <row r="75" spans="2:5" x14ac:dyDescent="0.25">
      <c r="D75" t="s">
        <v>202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vt:lpstr>
      <vt:lpstr>Calculator</vt:lpstr>
      <vt:lpstr>ZoneByZIP</vt:lpstr>
      <vt:lpstr>Table 140.3-B</vt:lpstr>
      <vt:lpstr>Table 140.3-B Data</vt:lpstr>
      <vt:lpstr>Table 140.3-C</vt:lpstr>
      <vt:lpstr>Table 140.3-C Data</vt:lpstr>
      <vt:lpstr>PV &amp; Battery</vt:lpstr>
      <vt:lpstr>Checklist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Harris</dc:creator>
  <cp:lastModifiedBy>Matt Harris</cp:lastModifiedBy>
  <dcterms:created xsi:type="dcterms:W3CDTF">2024-02-27T20:58:16Z</dcterms:created>
  <dcterms:modified xsi:type="dcterms:W3CDTF">2024-06-25T20:02:07Z</dcterms:modified>
</cp:coreProperties>
</file>